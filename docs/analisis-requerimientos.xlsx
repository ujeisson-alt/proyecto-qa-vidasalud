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rimientos" sheetId="1" state="visible" r:id="rId3"/>
    <sheet name="Resumen" sheetId="2" state="visible" r:id="rId4"/>
    <sheet name="Leyenda" sheetId="3" state="visible" r:id="rId5"/>
  </sheets>
  <definedNames>
    <definedName function="false" hidden="true" localSheetId="0" name="_xlnm._FilterDatabase" vbProcedure="false">Requerimientos!$A$4:$I$22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<sst xmlns="http://schemas.openxmlformats.org/spreadsheetml/2006/main" count="215" uniqueCount="135">
  <si>
    <t xml:space="preserve">ANALISIS DE REQUERIMIENTOS - VidaSalud S.A. | Módulo Registro de Pacientes y Turnos Online</t>
  </si>
  <si>
    <t xml:space="preserve">Fuente: documentación funcional del módulo | QA: Jeisson Marín Uribe Luis - QA Tester Junior | Sprint 1 - Fase 1</t>
  </si>
  <si>
    <t xml:space="preserve">ID</t>
  </si>
  <si>
    <t xml:space="preserve">Tipo</t>
  </si>
  <si>
    <t xml:space="preserve">Área / Módulo</t>
  </si>
  <si>
    <t xml:space="preserve">Descripción del requerimiento</t>
  </si>
  <si>
    <t xml:space="preserve">Prioridad</t>
  </si>
  <si>
    <t xml:space="preserve">Criterio de aceptación</t>
  </si>
  <si>
    <t xml:space="preserve">Riesgo</t>
  </si>
  <si>
    <t xml:space="preserve">Casos de prueba asociados</t>
  </si>
  <si>
    <t xml:space="preserve">Cobertura</t>
  </si>
  <si>
    <t xml:space="preserve">RF-01</t>
  </si>
  <si>
    <t xml:space="preserve">Funcional</t>
  </si>
  <si>
    <t xml:space="preserve">Registro</t>
  </si>
  <si>
    <t xml:space="preserve">El DNI debe contener entre 7 y 8 dígitos numéricos y ser único en el sistema</t>
  </si>
  <si>
    <t xml:space="preserve">Alta</t>
  </si>
  <si>
    <t xml:space="preserve">El sistema rechaza DNI fuera de rango, con caracteres no numéricos o ya registrado, con mensaje específico</t>
  </si>
  <si>
    <t xml:space="preserve">Alto</t>
  </si>
  <si>
    <t xml:space="preserve">CP-001, CP-002, CP-003, CP-004, CP-005, CP-006</t>
  </si>
  <si>
    <t xml:space="preserve">Cubierto</t>
  </si>
  <si>
    <t xml:space="preserve">RF-02</t>
  </si>
  <si>
    <t xml:space="preserve">El email debe tener formato válido y no estar registrado previamente</t>
  </si>
  <si>
    <t xml:space="preserve">El sistema valida el formato y avisa cuando el email ya está en uso</t>
  </si>
  <si>
    <t xml:space="preserve">CP-007, CP-008, CP-009, CP-010, CP-011</t>
  </si>
  <si>
    <t xml:space="preserve">RF-03</t>
  </si>
  <si>
    <t xml:space="preserve">La contraseña debe tener mínimo 8 caracteres, 1 mayúscula y 1 número</t>
  </si>
  <si>
    <t xml:space="preserve">El sistema bloquea el envío y detalla la regla incumplida</t>
  </si>
  <si>
    <t xml:space="preserve">CP-012, CP-013, CP-014, CP-015, CP-017</t>
  </si>
  <si>
    <t xml:space="preserve">RF-04</t>
  </si>
  <si>
    <t xml:space="preserve">La confirmación de contraseña debe coincidir con la contraseña ingresada</t>
  </si>
  <si>
    <t xml:space="preserve">Si no coinciden, el alta no se completa y se marca el campo de confirmación</t>
  </si>
  <si>
    <t xml:space="preserve">CP-016</t>
  </si>
  <si>
    <t xml:space="preserve">RF-05</t>
  </si>
  <si>
    <t xml:space="preserve">El paciente debe seleccionar su obra social del listado; si no tiene, elegir 'Particular'</t>
  </si>
  <si>
    <t xml:space="preserve">El alta no avanza sin una cobertura seleccionada y 'Particular' es una opción válida</t>
  </si>
  <si>
    <t xml:space="preserve">Medio</t>
  </si>
  <si>
    <t xml:space="preserve">CP-018, CP-019</t>
  </si>
  <si>
    <t xml:space="preserve">RF-06</t>
  </si>
  <si>
    <t xml:space="preserve">Ambos checkboxes (T&amp;C y consentimiento de datos de salud) deben estar marcados</t>
  </si>
  <si>
    <t xml:space="preserve">Con cualquiera de los dos sin marcar el registro se bloquea con un mensaje claro</t>
  </si>
  <si>
    <t xml:space="preserve">CP-020, CP-021, CP-022</t>
  </si>
  <si>
    <t xml:space="preserve">RF-07</t>
  </si>
  <si>
    <t xml:space="preserve">El sistema debe enviar email con código de verificación de 6 dígitos al completar el registro</t>
  </si>
  <si>
    <t xml:space="preserve">El email llega en menos de 5 minutos y el código habilita la cuenta</t>
  </si>
  <si>
    <t xml:space="preserve">CP-023, CP-024</t>
  </si>
  <si>
    <t xml:space="preserve">RF-08</t>
  </si>
  <si>
    <t xml:space="preserve">Turnos</t>
  </si>
  <si>
    <t xml:space="preserve">El paciente puede buscar especialidades médicas y filtrar por cobertura de su obra social</t>
  </si>
  <si>
    <t xml:space="preserve">La búsqueda devuelve profesionales de la especialidad y el filtro por cobertura funciona</t>
  </si>
  <si>
    <t xml:space="preserve">CP-025, CP-043</t>
  </si>
  <si>
    <t xml:space="preserve">RF-09</t>
  </si>
  <si>
    <t xml:space="preserve">Solo se pueden reservar turnos en fechas y horarios disponibles de la agenda del médico</t>
  </si>
  <si>
    <t xml:space="preserve">Horarios ocupados y fechas pasadas son rechazados</t>
  </si>
  <si>
    <t xml:space="preserve">CP-026, CP-027, CP-028</t>
  </si>
  <si>
    <t xml:space="preserve">RF-10</t>
  </si>
  <si>
    <t xml:space="preserve">El motivo de consulta es obligatorio y tiene un máximo de 250 caracteres</t>
  </si>
  <si>
    <t xml:space="preserve">Media</t>
  </si>
  <si>
    <t xml:space="preserve">El campo no admite más de 250 caracteres y no puede quedar vacío</t>
  </si>
  <si>
    <t xml:space="preserve">CP-029, CP-030, CP-031</t>
  </si>
  <si>
    <t xml:space="preserve">RF-11</t>
  </si>
  <si>
    <t xml:space="preserve">El sistema envía confirmación de turno por email dentro de los 5 minutos de realizada la reserva</t>
  </si>
  <si>
    <t xml:space="preserve">El email de confirmación llega con fecha, hora, profesional y motivo</t>
  </si>
  <si>
    <t xml:space="preserve">CP-032</t>
  </si>
  <si>
    <t xml:space="preserve">RF-12</t>
  </si>
  <si>
    <t xml:space="preserve">El paciente puede cancelar un turno activo hasta 2 horas antes de su hora de inicio</t>
  </si>
  <si>
    <t xml:space="preserve">La cancelación se permite fuera de la ventana de 2 horas y se confirma por email</t>
  </si>
  <si>
    <t xml:space="preserve">CP-033, CP-034, CP-035</t>
  </si>
  <si>
    <t xml:space="preserve">RF-13</t>
  </si>
  <si>
    <t xml:space="preserve">El sistema envía recordatorio por email 24 hs antes del turno programado</t>
  </si>
  <si>
    <t xml:space="preserve">El recordatorio llega dentro de la franja de 24 horas previas al turno</t>
  </si>
  <si>
    <t xml:space="preserve">CP-040</t>
  </si>
  <si>
    <t xml:space="preserve">RNF-01</t>
  </si>
  <si>
    <t xml:space="preserve">No funcional</t>
  </si>
  <si>
    <t xml:space="preserve">Rendimiento</t>
  </si>
  <si>
    <t xml:space="preserve">El tiempo de respuesta del sistema no debe superar los 3 segundos para cualquier acción del formulario</t>
  </si>
  <si>
    <t xml:space="preserve">Las acciones del formulario responden en menos de 3.000 ms medidos en DevTools</t>
  </si>
  <si>
    <t xml:space="preserve">CP-041</t>
  </si>
  <si>
    <t xml:space="preserve">RNF-02</t>
  </si>
  <si>
    <t xml:space="preserve">Compatibilidad</t>
  </si>
  <si>
    <t xml:space="preserve">La plataforma debe funcionar correctamente en Chrome (última versión), Firefox y Safari mobile</t>
  </si>
  <si>
    <t xml:space="preserve">El flujo completo se ejecuta sin diferencias funcionales entre navegadores</t>
  </si>
  <si>
    <t xml:space="preserve">CP-036, CP-037</t>
  </si>
  <si>
    <t xml:space="preserve">RNF-03</t>
  </si>
  <si>
    <t xml:space="preserve">Interfaz</t>
  </si>
  <si>
    <t xml:space="preserve">El diseño debe ser responsive y usable en 375 px (mobile), 768 px (tablet) y 1920 px (desktop)</t>
  </si>
  <si>
    <t xml:space="preserve">Todos los controles son visibles y operables en las tres resoluciones</t>
  </si>
  <si>
    <t xml:space="preserve">CP-038, CP-039</t>
  </si>
  <si>
    <t xml:space="preserve">RNF-04</t>
  </si>
  <si>
    <t xml:space="preserve">Seguridad</t>
  </si>
  <si>
    <t xml:space="preserve">Los campos de contraseña deben enmascararse por defecto</t>
  </si>
  <si>
    <t xml:space="preserve">El texto se enmascara y solo se revela al accionar el ícono del ojo</t>
  </si>
  <si>
    <t xml:space="preserve">CP-013</t>
  </si>
  <si>
    <t xml:space="preserve">RNF-05</t>
  </si>
  <si>
    <t xml:space="preserve">Privacidad</t>
  </si>
  <si>
    <t xml:space="preserve">El manejo de datos de salud debe cumplir estándares básicos de privacidad (no exponer información en la URL, caché limpio)</t>
  </si>
  <si>
    <t xml:space="preserve">Ningún dato de salud viaja en la URL y la sesión no deja datos accesibles tras cerrarla</t>
  </si>
  <si>
    <t xml:space="preserve">CP-042</t>
  </si>
  <si>
    <t xml:space="preserve">Nota: RF-10, RF-11 y RNF-01 no estaban cubiertos por el diseño base de 32 casos. Se disenaron los casos adicionales CP-033 a CP-036 para cerrar esa brecha y alcanzar el 100% de cobertura.</t>
  </si>
  <si>
    <t xml:space="preserve">RESUMEN DE REQUERIMIENTOS</t>
  </si>
  <si>
    <t xml:space="preserve">Los valores se calculan con fórmulas sobre la hoja 'Requerimientos'</t>
  </si>
  <si>
    <t xml:space="preserve">Indicador</t>
  </si>
  <si>
    <t xml:space="preserve">Valor</t>
  </si>
  <si>
    <t xml:space="preserve">Detalle</t>
  </si>
  <si>
    <t xml:space="preserve">Total de requerimientos</t>
  </si>
  <si>
    <t xml:space="preserve">Suma de RF + RNF documentados</t>
  </si>
  <si>
    <t xml:space="preserve">Requerimientos funcionales (RF)</t>
  </si>
  <si>
    <t xml:space="preserve">Reglas de negocio del módulo</t>
  </si>
  <si>
    <t xml:space="preserve">Requerimientos no funcionales (RNF)</t>
  </si>
  <si>
    <t xml:space="preserve">Rendimiento, compatibilidad, interfaz y seguridad</t>
  </si>
  <si>
    <t xml:space="preserve">Prioridad Alta</t>
  </si>
  <si>
    <t xml:space="preserve">Requerimientos bloqueantes para el go-live</t>
  </si>
  <si>
    <t xml:space="preserve">Prioridad Media</t>
  </si>
  <si>
    <t xml:space="preserve">Requerimientos importantes, no bloqueantes</t>
  </si>
  <si>
    <t xml:space="preserve">Requerimientos cubiertos por casos</t>
  </si>
  <si>
    <t xml:space="preserve">Con al menos un caso de prueba asociado</t>
  </si>
  <si>
    <t xml:space="preserve">Requerimientos sin cubrir</t>
  </si>
  <si>
    <t xml:space="preserve">Brecha de cobertura pendiente</t>
  </si>
  <si>
    <t xml:space="preserve">% de cobertura de requerimientos</t>
  </si>
  <si>
    <t xml:space="preserve">Objetivo del proyecto: 100%</t>
  </si>
  <si>
    <t xml:space="preserve">LEYENDA Y CRITERIOS</t>
  </si>
  <si>
    <t xml:space="preserve">Convenciones usadas en todos los artefactos del proyecto</t>
  </si>
  <si>
    <t xml:space="preserve">Concepto</t>
  </si>
  <si>
    <t xml:space="preserve">Definición</t>
  </si>
  <si>
    <t xml:space="preserve">RF</t>
  </si>
  <si>
    <t xml:space="preserve">Requerimiento Funcional: describe QUE debe hacer el sistema.</t>
  </si>
  <si>
    <t xml:space="preserve">RNF</t>
  </si>
  <si>
    <t xml:space="preserve">Requerimiento No Funcional: describe COMO debe comportarse (rendimiento, compatibilidad, interfaz, seguridad).</t>
  </si>
  <si>
    <t xml:space="preserve">CP</t>
  </si>
  <si>
    <t xml:space="preserve">Caso de Prueba: describe COMO se verifica un requerimiento, con pasos y resultado esperado.</t>
  </si>
  <si>
    <t xml:space="preserve">Su incumplimiento bloquea el alta de usuarios o compromete la seguridad. Se testea primero.</t>
  </si>
  <si>
    <t xml:space="preserve">Afecta la experiencia o la calidad del dato, sin bloquear el flujo principal.</t>
  </si>
  <si>
    <t xml:space="preserve">Probabilidad de falla x impacto en el negocio, estimado junto a la QA Lead para ordenar la ejecución.</t>
  </si>
  <si>
    <t xml:space="preserve">El requerimiento tiene al menos un caso de prueba que lo verifica.</t>
  </si>
  <si>
    <t xml:space="preserve">Sin cubrir</t>
  </si>
  <si>
    <t xml:space="preserve">No existe caso de prueba asociado. Es una brecha que debe cerrarse antes de ejecutar.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</si>
</sst>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2.35" hidden="false" customHeight="false" outlineLevel="0" collapsed="false">
      <c r="A5" s="4" t="s">
        <v>11</v>
      </c>
      <c r="B5" s="5" t="s">
        <v>12</v>
      </c>
      <c r="C5" s="6" t="s">
        <v>13</v>
      </c>
      <c r="D5" s="6" t="s">
        <v>14</v>
      </c>
      <c r="E5" s="7" t="s">
        <v>15</v>
      </c>
      <c r="F5" s="6" t="s">
        <v>16</v>
      </c>
      <c r="G5" s="5" t="s">
        <v>17</v>
      </c>
      <c r="H5" s="6" t="s">
        <v>18</v>
      </c>
      <c r="I5" s="8" t="s">
        <v>19</v>
      </c>
    </row>
    <row r="6" customFormat="false" ht="22.35" hidden="false" customHeight="false" outlineLevel="0" collapsed="false">
      <c r="A6" s="4" t="s">
        <v>20</v>
      </c>
      <c r="B6" s="5" t="s">
        <v>12</v>
      </c>
      <c r="C6" s="6" t="s">
        <v>13</v>
      </c>
      <c r="D6" s="6" t="s">
        <v>21</v>
      </c>
      <c r="E6" s="7" t="s">
        <v>15</v>
      </c>
      <c r="F6" s="6" t="s">
        <v>22</v>
      </c>
      <c r="G6" s="5" t="s">
        <v>17</v>
      </c>
      <c r="H6" s="6" t="s">
        <v>23</v>
      </c>
      <c r="I6" s="8" t="s">
        <v>19</v>
      </c>
    </row>
    <row r="7" customFormat="false" ht="22.35" hidden="false" customHeight="false" outlineLevel="0" collapsed="false">
      <c r="A7" s="4" t="s">
        <v>24</v>
      </c>
      <c r="B7" s="5" t="s">
        <v>12</v>
      </c>
      <c r="C7" s="6" t="s">
        <v>13</v>
      </c>
      <c r="D7" s="6" t="s">
        <v>25</v>
      </c>
      <c r="E7" s="7" t="s">
        <v>15</v>
      </c>
      <c r="F7" s="6" t="s">
        <v>26</v>
      </c>
      <c r="G7" s="5" t="s">
        <v>17</v>
      </c>
      <c r="H7" s="6" t="s">
        <v>27</v>
      </c>
      <c r="I7" s="8" t="s">
        <v>19</v>
      </c>
    </row>
    <row r="8" customFormat="false" ht="22.35" hidden="false" customHeight="false" outlineLevel="0" collapsed="false">
      <c r="A8" s="4" t="s">
        <v>28</v>
      </c>
      <c r="B8" s="5" t="s">
        <v>12</v>
      </c>
      <c r="C8" s="6" t="s">
        <v>13</v>
      </c>
      <c r="D8" s="6" t="s">
        <v>29</v>
      </c>
      <c r="E8" s="7" t="s">
        <v>15</v>
      </c>
      <c r="F8" s="6" t="s">
        <v>30</v>
      </c>
      <c r="G8" s="5" t="s">
        <v>17</v>
      </c>
      <c r="H8" s="6" t="s">
        <v>31</v>
      </c>
      <c r="I8" s="8" t="s">
        <v>19</v>
      </c>
    </row>
    <row r="9" customFormat="false" ht="22.35" hidden="false" customHeight="false" outlineLevel="0" collapsed="false">
      <c r="A9" s="4" t="s">
        <v>32</v>
      </c>
      <c r="B9" s="5" t="s">
        <v>12</v>
      </c>
      <c r="C9" s="6" t="s">
        <v>13</v>
      </c>
      <c r="D9" s="6" t="s">
        <v>33</v>
      </c>
      <c r="E9" s="7" t="s">
        <v>15</v>
      </c>
      <c r="F9" s="6" t="s">
        <v>34</v>
      </c>
      <c r="G9" s="5" t="s">
        <v>35</v>
      </c>
      <c r="H9" s="6" t="s">
        <v>36</v>
      </c>
      <c r="I9" s="8" t="s">
        <v>19</v>
      </c>
    </row>
    <row r="10" customFormat="false" ht="22.35" hidden="false" customHeight="false" outlineLevel="0" collapsed="false">
      <c r="A10" s="4" t="s">
        <v>37</v>
      </c>
      <c r="B10" s="5" t="s">
        <v>12</v>
      </c>
      <c r="C10" s="6" t="s">
        <v>13</v>
      </c>
      <c r="D10" s="6" t="s">
        <v>38</v>
      </c>
      <c r="E10" s="7" t="s">
        <v>15</v>
      </c>
      <c r="F10" s="6" t="s">
        <v>39</v>
      </c>
      <c r="G10" s="5" t="s">
        <v>17</v>
      </c>
      <c r="H10" s="6" t="s">
        <v>40</v>
      </c>
      <c r="I10" s="8" t="s">
        <v>19</v>
      </c>
    </row>
    <row r="11" customFormat="false" ht="22.35" hidden="false" customHeight="false" outlineLevel="0" collapsed="false">
      <c r="A11" s="4" t="s">
        <v>41</v>
      </c>
      <c r="B11" s="5" t="s">
        <v>12</v>
      </c>
      <c r="C11" s="6" t="s">
        <v>13</v>
      </c>
      <c r="D11" s="6" t="s">
        <v>42</v>
      </c>
      <c r="E11" s="7" t="s">
        <v>15</v>
      </c>
      <c r="F11" s="6" t="s">
        <v>43</v>
      </c>
      <c r="G11" s="5" t="s">
        <v>17</v>
      </c>
      <c r="H11" s="6" t="s">
        <v>44</v>
      </c>
      <c r="I11" s="8" t="s">
        <v>19</v>
      </c>
    </row>
    <row r="12" customFormat="false" ht="22.35" hidden="false" customHeight="false" outlineLevel="0" collapsed="false">
      <c r="A12" s="4" t="s">
        <v>45</v>
      </c>
      <c r="B12" s="5" t="s">
        <v>12</v>
      </c>
      <c r="C12" s="6" t="s">
        <v>46</v>
      </c>
      <c r="D12" s="6" t="s">
        <v>47</v>
      </c>
      <c r="E12" s="7" t="s">
        <v>15</v>
      </c>
      <c r="F12" s="6" t="s">
        <v>48</v>
      </c>
      <c r="G12" s="5" t="s">
        <v>35</v>
      </c>
      <c r="H12" s="6" t="s">
        <v>49</v>
      </c>
      <c r="I12" s="8" t="s">
        <v>19</v>
      </c>
    </row>
    <row r="13" customFormat="false" ht="22.35" hidden="false" customHeight="false" outlineLevel="0" collapsed="false">
      <c r="A13" s="4" t="s">
        <v>50</v>
      </c>
      <c r="B13" s="5" t="s">
        <v>12</v>
      </c>
      <c r="C13" s="6" t="s">
        <v>46</v>
      </c>
      <c r="D13" s="6" t="s">
        <v>51</v>
      </c>
      <c r="E13" s="7" t="s">
        <v>15</v>
      </c>
      <c r="F13" s="6" t="s">
        <v>52</v>
      </c>
      <c r="G13" s="5" t="s">
        <v>17</v>
      </c>
      <c r="H13" s="6" t="s">
        <v>53</v>
      </c>
      <c r="I13" s="8" t="s">
        <v>19</v>
      </c>
    </row>
    <row r="14" customFormat="false" ht="22.35" hidden="false" customHeight="false" outlineLevel="0" collapsed="false">
      <c r="A14" s="4" t="s">
        <v>54</v>
      </c>
      <c r="B14" s="5" t="s">
        <v>12</v>
      </c>
      <c r="C14" s="6" t="s">
        <v>46</v>
      </c>
      <c r="D14" s="6" t="s">
        <v>55</v>
      </c>
      <c r="E14" s="9" t="s">
        <v>56</v>
      </c>
      <c r="F14" s="6" t="s">
        <v>57</v>
      </c>
      <c r="G14" s="5" t="s">
        <v>35</v>
      </c>
      <c r="H14" s="6" t="s">
        <v>58</v>
      </c>
      <c r="I14" s="8" t="s">
        <v>19</v>
      </c>
    </row>
    <row r="15" customFormat="false" ht="22.35" hidden="false" customHeight="false" outlineLevel="0" collapsed="false">
      <c r="A15" s="4" t="s">
        <v>59</v>
      </c>
      <c r="B15" s="5" t="s">
        <v>12</v>
      </c>
      <c r="C15" s="6" t="s">
        <v>46</v>
      </c>
      <c r="D15" s="6" t="s">
        <v>60</v>
      </c>
      <c r="E15" s="7" t="s">
        <v>15</v>
      </c>
      <c r="F15" s="6" t="s">
        <v>61</v>
      </c>
      <c r="G15" s="5" t="s">
        <v>17</v>
      </c>
      <c r="H15" s="6" t="s">
        <v>62</v>
      </c>
      <c r="I15" s="8" t="s">
        <v>19</v>
      </c>
    </row>
    <row r="16" customFormat="false" ht="22.35" hidden="false" customHeight="false" outlineLevel="0" collapsed="false">
      <c r="A16" s="4" t="s">
        <v>63</v>
      </c>
      <c r="B16" s="5" t="s">
        <v>12</v>
      </c>
      <c r="C16" s="6" t="s">
        <v>46</v>
      </c>
      <c r="D16" s="6" t="s">
        <v>64</v>
      </c>
      <c r="E16" s="7" t="s">
        <v>15</v>
      </c>
      <c r="F16" s="6" t="s">
        <v>65</v>
      </c>
      <c r="G16" s="5" t="s">
        <v>17</v>
      </c>
      <c r="H16" s="6" t="s">
        <v>66</v>
      </c>
      <c r="I16" s="8" t="s">
        <v>19</v>
      </c>
    </row>
    <row r="17" customFormat="false" ht="22.35" hidden="false" customHeight="false" outlineLevel="0" collapsed="false">
      <c r="A17" s="4" t="s">
        <v>67</v>
      </c>
      <c r="B17" s="5" t="s">
        <v>12</v>
      </c>
      <c r="C17" s="6" t="s">
        <v>46</v>
      </c>
      <c r="D17" s="6" t="s">
        <v>68</v>
      </c>
      <c r="E17" s="9" t="s">
        <v>56</v>
      </c>
      <c r="F17" s="6" t="s">
        <v>69</v>
      </c>
      <c r="G17" s="5" t="s">
        <v>35</v>
      </c>
      <c r="H17" s="6" t="s">
        <v>70</v>
      </c>
      <c r="I17" s="8" t="s">
        <v>19</v>
      </c>
    </row>
    <row r="18" customFormat="false" ht="22.35" hidden="false" customHeight="false" outlineLevel="0" collapsed="false">
      <c r="A18" s="4" t="s">
        <v>71</v>
      </c>
      <c r="B18" s="5" t="s">
        <v>72</v>
      </c>
      <c r="C18" s="6" t="s">
        <v>73</v>
      </c>
      <c r="D18" s="6" t="s">
        <v>74</v>
      </c>
      <c r="E18" s="7" t="s">
        <v>15</v>
      </c>
      <c r="F18" s="6" t="s">
        <v>75</v>
      </c>
      <c r="G18" s="5" t="s">
        <v>35</v>
      </c>
      <c r="H18" s="6" t="s">
        <v>76</v>
      </c>
      <c r="I18" s="8" t="s">
        <v>19</v>
      </c>
    </row>
    <row r="19" customFormat="false" ht="22.35" hidden="false" customHeight="false" outlineLevel="0" collapsed="false">
      <c r="A19" s="4" t="s">
        <v>77</v>
      </c>
      <c r="B19" s="5" t="s">
        <v>72</v>
      </c>
      <c r="C19" s="6" t="s">
        <v>78</v>
      </c>
      <c r="D19" s="6" t="s">
        <v>79</v>
      </c>
      <c r="E19" s="7" t="s">
        <v>15</v>
      </c>
      <c r="F19" s="6" t="s">
        <v>80</v>
      </c>
      <c r="G19" s="5" t="s">
        <v>17</v>
      </c>
      <c r="H19" s="6" t="s">
        <v>81</v>
      </c>
      <c r="I19" s="8" t="s">
        <v>19</v>
      </c>
    </row>
    <row r="20" customFormat="false" ht="22.35" hidden="false" customHeight="false" outlineLevel="0" collapsed="false">
      <c r="A20" s="4" t="s">
        <v>82</v>
      </c>
      <c r="B20" s="5" t="s">
        <v>72</v>
      </c>
      <c r="C20" s="6" t="s">
        <v>83</v>
      </c>
      <c r="D20" s="6" t="s">
        <v>84</v>
      </c>
      <c r="E20" s="7" t="s">
        <v>15</v>
      </c>
      <c r="F20" s="6" t="s">
        <v>85</v>
      </c>
      <c r="G20" s="5" t="s">
        <v>17</v>
      </c>
      <c r="H20" s="6" t="s">
        <v>86</v>
      </c>
      <c r="I20" s="8" t="s">
        <v>19</v>
      </c>
    </row>
    <row r="21" customFormat="false" ht="15" hidden="false" customHeight="false" outlineLevel="0" collapsed="false">
      <c r="A21" s="4" t="s">
        <v>87</v>
      </c>
      <c r="B21" s="5" t="s">
        <v>72</v>
      </c>
      <c r="C21" s="6" t="s">
        <v>88</v>
      </c>
      <c r="D21" s="6" t="s">
        <v>89</v>
      </c>
      <c r="E21" s="7" t="s">
        <v>15</v>
      </c>
      <c r="F21" s="6" t="s">
        <v>90</v>
      </c>
      <c r="G21" s="5" t="s">
        <v>17</v>
      </c>
      <c r="H21" s="6" t="s">
        <v>91</v>
      </c>
      <c r="I21" s="8" t="s">
        <v>19</v>
      </c>
    </row>
    <row r="22" customFormat="false" ht="22.35" hidden="false" customHeight="false" outlineLevel="0" collapsed="false">
      <c r="A22" s="4" t="s">
        <v>92</v>
      </c>
      <c r="B22" s="5" t="s">
        <v>72</v>
      </c>
      <c r="C22" s="6" t="s">
        <v>93</v>
      </c>
      <c r="D22" s="6" t="s">
        <v>94</v>
      </c>
      <c r="E22" s="7" t="s">
        <v>15</v>
      </c>
      <c r="F22" s="6" t="s">
        <v>95</v>
      </c>
      <c r="G22" s="5" t="s">
        <v>17</v>
      </c>
      <c r="H22" s="6" t="s">
        <v>96</v>
      </c>
      <c r="I22" s="8" t="s">
        <v>19</v>
      </c>
    </row>
    <row r="24" customFormat="false" ht="15" hidden="false" customHeight="true" outlineLevel="0" collapsed="false">
      <c r="A24" s="10" t="s">
        <v>97</v>
      </c>
      <c r="B24" s="10"/>
      <c r="C24" s="10"/>
      <c r="D24" s="10"/>
      <c r="E24" s="10"/>
      <c r="F24" s="10"/>
      <c r="G24" s="10"/>
      <c r="H24" s="10"/>
      <c r="I24" s="10"/>
    </row>
  </sheetData>
  <autoFilter ref="A4:I22"/>
  <mergeCells count="3">
    <mergeCell ref="A1:I1"/>
    <mergeCell ref="A2:I2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" t="s">
        <v>98</v>
      </c>
      <c r="B1" s="1"/>
      <c r="C1" s="1"/>
    </row>
    <row r="2" customFormat="false" ht="18" hidden="false" customHeight="true" outlineLevel="0" collapsed="false">
      <c r="A2" s="2" t="s">
        <v>99</v>
      </c>
      <c r="B2" s="2"/>
      <c r="C2" s="2"/>
    </row>
    <row r="4" customFormat="false" ht="30" hidden="false" customHeight="true" outlineLevel="0" collapsed="false">
      <c r="A4" s="3" t="s">
        <v>100</v>
      </c>
      <c r="B4" s="3" t="s">
        <v>101</v>
      </c>
      <c r="C4" s="3" t="s">
        <v>102</v>
      </c>
    </row>
    <row r="5" customFormat="false" ht="15" hidden="false" customHeight="false" outlineLevel="0" collapsed="false">
      <c r="A5" s="11" t="s">
        <v>103</v>
      </c>
      <c r="B5" s="5" t="n">
        <f aca="false">COUNTA(Requerimientos!A5:A22)</f>
        <v>18</v>
      </c>
      <c r="C5" s="6" t="s">
        <v>104</v>
      </c>
    </row>
    <row r="6" customFormat="false" ht="15" hidden="false" customHeight="false" outlineLevel="0" collapsed="false">
      <c r="A6" s="11" t="s">
        <v>105</v>
      </c>
      <c r="B6" s="5" t="n">
        <f aca="false">COUNTIF(Requerimientos!B5:B22,"Funcional")</f>
        <v>13</v>
      </c>
      <c r="C6" s="6" t="s">
        <v>106</v>
      </c>
    </row>
    <row r="7" customFormat="false" ht="15" hidden="false" customHeight="false" outlineLevel="0" collapsed="false">
      <c r="A7" s="11" t="s">
        <v>107</v>
      </c>
      <c r="B7" s="5" t="n">
        <f aca="false">COUNTIF(Requerimientos!B5:B22,"No funcional")</f>
        <v>5</v>
      </c>
      <c r="C7" s="6" t="s">
        <v>108</v>
      </c>
    </row>
    <row r="8" customFormat="false" ht="15" hidden="false" customHeight="false" outlineLevel="0" collapsed="false">
      <c r="A8" s="11" t="s">
        <v>109</v>
      </c>
      <c r="B8" s="5" t="n">
        <f aca="false">COUNTIF(Requerimientos!E5:E22,"Alta")</f>
        <v>16</v>
      </c>
      <c r="C8" s="6" t="s">
        <v>110</v>
      </c>
    </row>
    <row r="9" customFormat="false" ht="15" hidden="false" customHeight="false" outlineLevel="0" collapsed="false">
      <c r="A9" s="11" t="s">
        <v>111</v>
      </c>
      <c r="B9" s="5" t="n">
        <f aca="false">COUNTIF(Requerimientos!E5:E22,"Media")</f>
        <v>2</v>
      </c>
      <c r="C9" s="6" t="s">
        <v>112</v>
      </c>
    </row>
    <row r="10" customFormat="false" ht="15" hidden="false" customHeight="false" outlineLevel="0" collapsed="false">
      <c r="A10" s="11" t="s">
        <v>113</v>
      </c>
      <c r="B10" s="5" t="n">
        <f aca="false">COUNTIF(Requerimientos!I5:I22,"Cubierto")</f>
        <v>18</v>
      </c>
      <c r="C10" s="6" t="s">
        <v>114</v>
      </c>
    </row>
    <row r="11" customFormat="false" ht="15" hidden="false" customHeight="false" outlineLevel="0" collapsed="false">
      <c r="A11" s="11" t="s">
        <v>115</v>
      </c>
      <c r="B11" s="5" t="n">
        <f aca="false">COUNTIF(Requerimientos!I5:I22,"Sin cubrir")</f>
        <v>0</v>
      </c>
      <c r="C11" s="6" t="s">
        <v>116</v>
      </c>
    </row>
    <row r="12" customFormat="false" ht="15" hidden="false" customHeight="false" outlineLevel="0" collapsed="false">
      <c r="A12" s="11" t="s">
        <v>117</v>
      </c>
      <c r="B12" s="12" t="n">
        <f aca="false">IFERROR(COUNTIF(Requerimientos!I5:I22,"Cubierto")/COUNTA(Requerimientos!A5:A22),0)</f>
        <v>1</v>
      </c>
      <c r="C12" s="6" t="s">
        <v>118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6"/>
  </cols>
  <sheetData>
    <row r="1" customFormat="false" ht="25.5" hidden="false" customHeight="true" outlineLevel="0" collapsed="false">
      <c r="A1" s="1" t="s">
        <v>119</v>
      </c>
      <c r="B1" s="1"/>
    </row>
    <row r="2" customFormat="false" ht="18" hidden="false" customHeight="true" outlineLevel="0" collapsed="false">
      <c r="A2" s="2" t="s">
        <v>120</v>
      </c>
      <c r="B2" s="2"/>
    </row>
    <row r="4" customFormat="false" ht="30" hidden="false" customHeight="true" outlineLevel="0" collapsed="false">
      <c r="A4" s="3" t="s">
        <v>121</v>
      </c>
      <c r="B4" s="3" t="s">
        <v>122</v>
      </c>
    </row>
    <row r="5" customFormat="false" ht="15" hidden="false" customHeight="false" outlineLevel="0" collapsed="false">
      <c r="A5" s="11" t="s">
        <v>123</v>
      </c>
      <c r="B5" s="6" t="s">
        <v>124</v>
      </c>
    </row>
    <row r="6" customFormat="false" ht="15" hidden="false" customHeight="false" outlineLevel="0" collapsed="false">
      <c r="A6" s="11" t="s">
        <v>125</v>
      </c>
      <c r="B6" s="6" t="s">
        <v>126</v>
      </c>
    </row>
    <row r="7" customFormat="false" ht="15" hidden="false" customHeight="false" outlineLevel="0" collapsed="false">
      <c r="A7" s="11" t="s">
        <v>127</v>
      </c>
      <c r="B7" s="6" t="s">
        <v>128</v>
      </c>
    </row>
    <row r="8" customFormat="false" ht="15" hidden="false" customHeight="false" outlineLevel="0" collapsed="false">
      <c r="A8" s="11" t="s">
        <v>109</v>
      </c>
      <c r="B8" s="6" t="s">
        <v>129</v>
      </c>
    </row>
    <row r="9" customFormat="false" ht="15" hidden="false" customHeight="false" outlineLevel="0" collapsed="false">
      <c r="A9" s="11" t="s">
        <v>111</v>
      </c>
      <c r="B9" s="6" t="s">
        <v>130</v>
      </c>
    </row>
    <row r="10" customFormat="false" ht="15" hidden="false" customHeight="false" outlineLevel="0" collapsed="false">
      <c r="A10" s="11" t="s">
        <v>8</v>
      </c>
      <c r="B10" s="6" t="s">
        <v>131</v>
      </c>
    </row>
    <row r="11" customFormat="false" ht="15" hidden="false" customHeight="false" outlineLevel="0" collapsed="false">
      <c r="A11" s="11" t="s">
        <v>19</v>
      </c>
      <c r="B11" s="6" t="s">
        <v>132</v>
      </c>
    </row>
    <row r="12" customFormat="false" ht="15" hidden="false" customHeight="false" outlineLevel="0" collapsed="false">
      <c r="A12" s="11" t="s">
        <v>133</v>
      </c>
      <c r="B12" s="6" t="s">
        <v>134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2026-09-20T18:09:06Z</dcterms:created>
  <dc:creator>openpyxl</dc:creator>
  <dc:description/>
  <dc:language>en-US</dc:language>
  <cp:lastModifiedBy/>
  <dcterms:modified xsi:type="dcterms:W3CDTF">2026-09-20T18:09:06Z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