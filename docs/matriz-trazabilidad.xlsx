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zabilidad" sheetId="1" state="visible" r:id="rId3"/>
    <sheet name="Cobertura por área" sheetId="2" state="visible" r:id="rId4"/>
  </sheets>
  <definedNames>
    <definedName function="false" hidden="true" localSheetId="0" name="_xlnm._FilterDatabase" vbProcedure="false">Trazabilidad!$A$4:$L$22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<sst xmlns="http://schemas.openxmlformats.org/spreadsheetml/2006/main" count="169" uniqueCount="93">
  <si>
    <t xml:space="preserve">MATRIZ DE TRAZABILIDAD - VidaSalud S.A. | Módulo Registro de Pacientes y Turnos Online</t>
  </si>
  <si>
    <t xml:space="preserve">Conecta cada requerimiento con los casos que lo verifican y el resultado real de la ejecución | Fase 1 y actualizada en Fase 3</t>
  </si>
  <si>
    <t xml:space="preserve">ID Req</t>
  </si>
  <si>
    <t xml:space="preserve">Tipo</t>
  </si>
  <si>
    <t xml:space="preserve">Descripción del requerimiento</t>
  </si>
  <si>
    <t xml:space="preserve">Prioridad</t>
  </si>
  <si>
    <t xml:space="preserve">Casos de prueba que lo verifican</t>
  </si>
  <si>
    <t xml:space="preserve">Cant. casos</t>
  </si>
  <si>
    <t xml:space="preserve">Passed</t>
  </si>
  <si>
    <t xml:space="preserve">Failed</t>
  </si>
  <si>
    <t xml:space="preserve">Blocked</t>
  </si>
  <si>
    <t xml:space="preserve">Bugs asociados</t>
  </si>
  <si>
    <t xml:space="preserve">Estado de cobertura</t>
  </si>
  <si>
    <t xml:space="preserve">Veredicto QA</t>
  </si>
  <si>
    <t xml:space="preserve">RF-01</t>
  </si>
  <si>
    <t xml:space="preserve">Funcional</t>
  </si>
  <si>
    <t xml:space="preserve">El DNI debe contener entre 7 y 8 dígitos numéricos y ser único en el sistema</t>
  </si>
  <si>
    <t xml:space="preserve">Alta</t>
  </si>
  <si>
    <t xml:space="preserve">CP-001, CP-002, CP-003, CP-004, CP-005, CP-006</t>
  </si>
  <si>
    <t xml:space="preserve">BUG-005, BUG-008</t>
  </si>
  <si>
    <t xml:space="preserve">Cubierto</t>
  </si>
  <si>
    <t xml:space="preserve">Verificado con defectos abiertos</t>
  </si>
  <si>
    <t xml:space="preserve">RF-02</t>
  </si>
  <si>
    <t xml:space="preserve">El email debe tener formato válido y no estar registrado previamente</t>
  </si>
  <si>
    <t xml:space="preserve">CP-007, CP-008, CP-009, CP-010, CP-011</t>
  </si>
  <si>
    <t xml:space="preserve">-</t>
  </si>
  <si>
    <t xml:space="preserve">Verificado y conforme</t>
  </si>
  <si>
    <t xml:space="preserve">RF-03</t>
  </si>
  <si>
    <t xml:space="preserve">La contraseña debe tener mínimo 8 caracteres, 1 mayúscula y 1 número</t>
  </si>
  <si>
    <t xml:space="preserve">CP-012, CP-013, CP-014, CP-015, CP-017</t>
  </si>
  <si>
    <t xml:space="preserve">RF-04</t>
  </si>
  <si>
    <t xml:space="preserve">La confirmación de contraseña debe coincidir con la contraseña ingresada</t>
  </si>
  <si>
    <t xml:space="preserve">CP-016</t>
  </si>
  <si>
    <t xml:space="preserve">RF-05</t>
  </si>
  <si>
    <t xml:space="preserve">El paciente debe seleccionar su obra social del listado; si no tiene, elegir 'Particular'</t>
  </si>
  <si>
    <t xml:space="preserve">CP-018, CP-019</t>
  </si>
  <si>
    <t xml:space="preserve">RF-06</t>
  </si>
  <si>
    <t xml:space="preserve">Ambos checkboxes (T&amp;C y consentimiento de datos de salud) deben estar marcados</t>
  </si>
  <si>
    <t xml:space="preserve">CP-020, CP-021, CP-022</t>
  </si>
  <si>
    <t xml:space="preserve">RF-07</t>
  </si>
  <si>
    <t xml:space="preserve">El sistema debe enviar email con código de verificación de 6 dígitos al completar el registro</t>
  </si>
  <si>
    <t xml:space="preserve">CP-023, CP-024</t>
  </si>
  <si>
    <t xml:space="preserve">BUG-003</t>
  </si>
  <si>
    <t xml:space="preserve">RF-08</t>
  </si>
  <si>
    <t xml:space="preserve">El paciente puede buscar especialidades médicas y filtrar por cobertura de su obra social</t>
  </si>
  <si>
    <t xml:space="preserve">CP-025, CP-043</t>
  </si>
  <si>
    <t xml:space="preserve">RF-09</t>
  </si>
  <si>
    <t xml:space="preserve">Solo se pueden reservar turnos en fechas y horarios disponibles de la agenda del médico</t>
  </si>
  <si>
    <t xml:space="preserve">CP-026, CP-027, CP-028</t>
  </si>
  <si>
    <t xml:space="preserve">RF-10</t>
  </si>
  <si>
    <t xml:space="preserve">El motivo de consulta es obligatorio y tiene un máximo de 250 caracteres</t>
  </si>
  <si>
    <t xml:space="preserve">Media</t>
  </si>
  <si>
    <t xml:space="preserve">CP-029, CP-030, CP-031</t>
  </si>
  <si>
    <t xml:space="preserve">BUG-006</t>
  </si>
  <si>
    <t xml:space="preserve">RF-11</t>
  </si>
  <si>
    <t xml:space="preserve">El sistema envía confirmación de turno por email dentro de los 5 minutos de realizada la reserva</t>
  </si>
  <si>
    <t xml:space="preserve">CP-032</t>
  </si>
  <si>
    <t xml:space="preserve">RF-12</t>
  </si>
  <si>
    <t xml:space="preserve">El paciente puede cancelar un turno activo hasta 2 horas antes de su hora de inicio</t>
  </si>
  <si>
    <t xml:space="preserve">CP-033, CP-034, CP-035</t>
  </si>
  <si>
    <t xml:space="preserve">BUG-007</t>
  </si>
  <si>
    <t xml:space="preserve">RF-13</t>
  </si>
  <si>
    <t xml:space="preserve">El sistema envía recordatorio por email 24 hs antes del turno programado</t>
  </si>
  <si>
    <t xml:space="preserve">CP-040</t>
  </si>
  <si>
    <t xml:space="preserve">BUG-009</t>
  </si>
  <si>
    <t xml:space="preserve">RNF-01</t>
  </si>
  <si>
    <t xml:space="preserve">No funcional</t>
  </si>
  <si>
    <t xml:space="preserve">El tiempo de respuesta del sistema no debe superar los 3 segundos para cualquier acción del formulario</t>
  </si>
  <si>
    <t xml:space="preserve">CP-041</t>
  </si>
  <si>
    <t xml:space="preserve">RNF-02</t>
  </si>
  <si>
    <t xml:space="preserve">La plataforma debe funcionar correctamente en Chrome (última versión), Firefox y Safari mobile</t>
  </si>
  <si>
    <t xml:space="preserve">CP-036, CP-037</t>
  </si>
  <si>
    <t xml:space="preserve">BUG-002</t>
  </si>
  <si>
    <t xml:space="preserve">RNF-03</t>
  </si>
  <si>
    <t xml:space="preserve">El diseño debe ser responsive y usable en 375 px (mobile), 768 px (tablet) y 1920 px (desktop)</t>
  </si>
  <si>
    <t xml:space="preserve">CP-038, CP-039</t>
  </si>
  <si>
    <t xml:space="preserve">BUG-004</t>
  </si>
  <si>
    <t xml:space="preserve">RNF-04</t>
  </si>
  <si>
    <t xml:space="preserve">Los campos de contraseña deben enmascararse por defecto</t>
  </si>
  <si>
    <t xml:space="preserve">CP-013</t>
  </si>
  <si>
    <t xml:space="preserve">BUG-001</t>
  </si>
  <si>
    <t xml:space="preserve">RNF-05</t>
  </si>
  <si>
    <t xml:space="preserve">El manejo de datos de salud debe cumplir estándares básicos de privacidad (no exponer información en la URL, caché limpio)</t>
  </si>
  <si>
    <t xml:space="preserve">CP-042</t>
  </si>
  <si>
    <t xml:space="preserve">TOTALES</t>
  </si>
  <si>
    <t xml:space="preserve">Nota: la cantidad de casos por requerimiento suma mas de 36 porque un mismo caso puede verificar mas de un requerimiento (por ejemplo CP-010 verifica RF-03 y RNF-04). El total de casos únicos ejecutados es 36.</t>
  </si>
  <si>
    <t xml:space="preserve">COBERTURA POR AREA FUNCIONAL</t>
  </si>
  <si>
    <t xml:space="preserve">Calculado con fórmulas sobre la hoja 'Trazabilidad'</t>
  </si>
  <si>
    <t xml:space="preserve">Área / Tipo</t>
  </si>
  <si>
    <t xml:space="preserve">Requerimientos</t>
  </si>
  <si>
    <t xml:space="preserve">Casos asociados</t>
  </si>
  <si>
    <t xml:space="preserve">Casos fallidos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</si>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</sst>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9" min="6" style="0" width="9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2.35" hidden="false" customHeight="false" outlineLevel="0" collapsed="false">
      <c r="A5" s="4" t="s">
        <v>14</v>
      </c>
      <c r="B5" s="5" t="s">
        <v>15</v>
      </c>
      <c r="C5" s="6" t="s">
        <v>16</v>
      </c>
      <c r="D5" s="5" t="s">
        <v>17</v>
      </c>
      <c r="E5" s="6" t="s">
        <v>18</v>
      </c>
      <c r="F5" s="5" t="n">
        <v>6</v>
      </c>
      <c r="G5" s="7" t="n">
        <v>5</v>
      </c>
      <c r="H5" s="8" t="n">
        <v>1</v>
      </c>
      <c r="I5" s="5" t="n">
        <v>0</v>
      </c>
      <c r="J5" s="5" t="s">
        <v>19</v>
      </c>
      <c r="K5" s="9" t="s">
        <v>20</v>
      </c>
      <c r="L5" s="10" t="s">
        <v>21</v>
      </c>
    </row>
    <row r="6" customFormat="false" ht="22.35" hidden="false" customHeight="false" outlineLevel="0" collapsed="false">
      <c r="A6" s="4" t="s">
        <v>22</v>
      </c>
      <c r="B6" s="5" t="s">
        <v>15</v>
      </c>
      <c r="C6" s="6" t="s">
        <v>23</v>
      </c>
      <c r="D6" s="5" t="s">
        <v>17</v>
      </c>
      <c r="E6" s="6" t="s">
        <v>24</v>
      </c>
      <c r="F6" s="5" t="n">
        <v>5</v>
      </c>
      <c r="G6" s="7" t="n">
        <v>5</v>
      </c>
      <c r="H6" s="5" t="n">
        <v>0</v>
      </c>
      <c r="I6" s="5" t="n">
        <v>0</v>
      </c>
      <c r="J6" s="5" t="s">
        <v>25</v>
      </c>
      <c r="K6" s="9" t="s">
        <v>20</v>
      </c>
      <c r="L6" s="11" t="s">
        <v>26</v>
      </c>
    </row>
    <row r="7" customFormat="false" ht="22.35" hidden="false" customHeight="false" outlineLevel="0" collapsed="false">
      <c r="A7" s="4" t="s">
        <v>27</v>
      </c>
      <c r="B7" s="5" t="s">
        <v>15</v>
      </c>
      <c r="C7" s="6" t="s">
        <v>28</v>
      </c>
      <c r="D7" s="5" t="s">
        <v>17</v>
      </c>
      <c r="E7" s="6" t="s">
        <v>29</v>
      </c>
      <c r="F7" s="5" t="n">
        <v>5</v>
      </c>
      <c r="G7" s="7" t="n">
        <v>4</v>
      </c>
      <c r="H7" s="8" t="n">
        <v>1</v>
      </c>
      <c r="I7" s="5" t="n">
        <v>0</v>
      </c>
      <c r="J7" s="5" t="s">
        <v>25</v>
      </c>
      <c r="K7" s="9" t="s">
        <v>20</v>
      </c>
      <c r="L7" s="10" t="s">
        <v>21</v>
      </c>
    </row>
    <row r="8" customFormat="false" ht="22.35" hidden="false" customHeight="false" outlineLevel="0" collapsed="false">
      <c r="A8" s="4" t="s">
        <v>30</v>
      </c>
      <c r="B8" s="5" t="s">
        <v>15</v>
      </c>
      <c r="C8" s="6" t="s">
        <v>31</v>
      </c>
      <c r="D8" s="5" t="s">
        <v>17</v>
      </c>
      <c r="E8" s="6" t="s">
        <v>32</v>
      </c>
      <c r="F8" s="5" t="n">
        <v>1</v>
      </c>
      <c r="G8" s="7" t="n">
        <v>1</v>
      </c>
      <c r="H8" s="5" t="n">
        <v>0</v>
      </c>
      <c r="I8" s="5" t="n">
        <v>0</v>
      </c>
      <c r="J8" s="5" t="s">
        <v>25</v>
      </c>
      <c r="K8" s="9" t="s">
        <v>20</v>
      </c>
      <c r="L8" s="11" t="s">
        <v>26</v>
      </c>
    </row>
    <row r="9" customFormat="false" ht="22.35" hidden="false" customHeight="false" outlineLevel="0" collapsed="false">
      <c r="A9" s="4" t="s">
        <v>33</v>
      </c>
      <c r="B9" s="5" t="s">
        <v>15</v>
      </c>
      <c r="C9" s="6" t="s">
        <v>34</v>
      </c>
      <c r="D9" s="5" t="s">
        <v>17</v>
      </c>
      <c r="E9" s="6" t="s">
        <v>35</v>
      </c>
      <c r="F9" s="5" t="n">
        <v>2</v>
      </c>
      <c r="G9" s="7" t="n">
        <v>2</v>
      </c>
      <c r="H9" s="5" t="n">
        <v>0</v>
      </c>
      <c r="I9" s="5" t="n">
        <v>0</v>
      </c>
      <c r="J9" s="5" t="s">
        <v>25</v>
      </c>
      <c r="K9" s="9" t="s">
        <v>20</v>
      </c>
      <c r="L9" s="11" t="s">
        <v>26</v>
      </c>
    </row>
    <row r="10" customFormat="false" ht="22.35" hidden="false" customHeight="false" outlineLevel="0" collapsed="false">
      <c r="A10" s="4" t="s">
        <v>36</v>
      </c>
      <c r="B10" s="5" t="s">
        <v>15</v>
      </c>
      <c r="C10" s="6" t="s">
        <v>37</v>
      </c>
      <c r="D10" s="5" t="s">
        <v>17</v>
      </c>
      <c r="E10" s="6" t="s">
        <v>38</v>
      </c>
      <c r="F10" s="5" t="n">
        <v>3</v>
      </c>
      <c r="G10" s="7" t="n">
        <v>3</v>
      </c>
      <c r="H10" s="5" t="n">
        <v>0</v>
      </c>
      <c r="I10" s="5" t="n">
        <v>0</v>
      </c>
      <c r="J10" s="5" t="s">
        <v>25</v>
      </c>
      <c r="K10" s="9" t="s">
        <v>20</v>
      </c>
      <c r="L10" s="11" t="s">
        <v>26</v>
      </c>
    </row>
    <row r="11" customFormat="false" ht="22.35" hidden="false" customHeight="false" outlineLevel="0" collapsed="false">
      <c r="A11" s="4" t="s">
        <v>39</v>
      </c>
      <c r="B11" s="5" t="s">
        <v>15</v>
      </c>
      <c r="C11" s="6" t="s">
        <v>40</v>
      </c>
      <c r="D11" s="5" t="s">
        <v>17</v>
      </c>
      <c r="E11" s="6" t="s">
        <v>41</v>
      </c>
      <c r="F11" s="5" t="n">
        <v>2</v>
      </c>
      <c r="G11" s="5" t="n">
        <v>0</v>
      </c>
      <c r="H11" s="8" t="n">
        <v>1</v>
      </c>
      <c r="I11" s="12" t="n">
        <v>1</v>
      </c>
      <c r="J11" s="5" t="s">
        <v>42</v>
      </c>
      <c r="K11" s="9" t="s">
        <v>20</v>
      </c>
      <c r="L11" s="10" t="s">
        <v>21</v>
      </c>
    </row>
    <row r="12" customFormat="false" ht="22.35" hidden="false" customHeight="false" outlineLevel="0" collapsed="false">
      <c r="A12" s="4" t="s">
        <v>43</v>
      </c>
      <c r="B12" s="5" t="s">
        <v>15</v>
      </c>
      <c r="C12" s="6" t="s">
        <v>44</v>
      </c>
      <c r="D12" s="5" t="s">
        <v>17</v>
      </c>
      <c r="E12" s="6" t="s">
        <v>45</v>
      </c>
      <c r="F12" s="5" t="n">
        <v>2</v>
      </c>
      <c r="G12" s="7" t="n">
        <v>2</v>
      </c>
      <c r="H12" s="5" t="n">
        <v>0</v>
      </c>
      <c r="I12" s="5" t="n">
        <v>0</v>
      </c>
      <c r="J12" s="5" t="s">
        <v>25</v>
      </c>
      <c r="K12" s="9" t="s">
        <v>20</v>
      </c>
      <c r="L12" s="11" t="s">
        <v>26</v>
      </c>
    </row>
    <row r="13" customFormat="false" ht="22.35" hidden="false" customHeight="false" outlineLevel="0" collapsed="false">
      <c r="A13" s="4" t="s">
        <v>46</v>
      </c>
      <c r="B13" s="5" t="s">
        <v>15</v>
      </c>
      <c r="C13" s="6" t="s">
        <v>47</v>
      </c>
      <c r="D13" s="5" t="s">
        <v>17</v>
      </c>
      <c r="E13" s="6" t="s">
        <v>48</v>
      </c>
      <c r="F13" s="5" t="n">
        <v>3</v>
      </c>
      <c r="G13" s="7" t="n">
        <v>3</v>
      </c>
      <c r="H13" s="5" t="n">
        <v>0</v>
      </c>
      <c r="I13" s="5" t="n">
        <v>0</v>
      </c>
      <c r="J13" s="5" t="s">
        <v>25</v>
      </c>
      <c r="K13" s="9" t="s">
        <v>20</v>
      </c>
      <c r="L13" s="11" t="s">
        <v>26</v>
      </c>
    </row>
    <row r="14" customFormat="false" ht="22.35" hidden="false" customHeight="false" outlineLevel="0" collapsed="false">
      <c r="A14" s="4" t="s">
        <v>49</v>
      </c>
      <c r="B14" s="5" t="s">
        <v>15</v>
      </c>
      <c r="C14" s="6" t="s">
        <v>50</v>
      </c>
      <c r="D14" s="5" t="s">
        <v>51</v>
      </c>
      <c r="E14" s="6" t="s">
        <v>52</v>
      </c>
      <c r="F14" s="5" t="n">
        <v>3</v>
      </c>
      <c r="G14" s="7" t="n">
        <v>2</v>
      </c>
      <c r="H14" s="8" t="n">
        <v>1</v>
      </c>
      <c r="I14" s="5" t="n">
        <v>0</v>
      </c>
      <c r="J14" s="5" t="s">
        <v>53</v>
      </c>
      <c r="K14" s="9" t="s">
        <v>20</v>
      </c>
      <c r="L14" s="10" t="s">
        <v>21</v>
      </c>
    </row>
    <row r="15" customFormat="false" ht="22.35" hidden="false" customHeight="false" outlineLevel="0" collapsed="false">
      <c r="A15" s="4" t="s">
        <v>54</v>
      </c>
      <c r="B15" s="5" t="s">
        <v>15</v>
      </c>
      <c r="C15" s="6" t="s">
        <v>55</v>
      </c>
      <c r="D15" s="5" t="s">
        <v>17</v>
      </c>
      <c r="E15" s="6" t="s">
        <v>56</v>
      </c>
      <c r="F15" s="5" t="n">
        <v>1</v>
      </c>
      <c r="G15" s="7" t="n">
        <v>1</v>
      </c>
      <c r="H15" s="5" t="n">
        <v>0</v>
      </c>
      <c r="I15" s="5" t="n">
        <v>0</v>
      </c>
      <c r="J15" s="5" t="s">
        <v>25</v>
      </c>
      <c r="K15" s="9" t="s">
        <v>20</v>
      </c>
      <c r="L15" s="11" t="s">
        <v>26</v>
      </c>
    </row>
    <row r="16" customFormat="false" ht="22.35" hidden="false" customHeight="false" outlineLevel="0" collapsed="false">
      <c r="A16" s="4" t="s">
        <v>57</v>
      </c>
      <c r="B16" s="5" t="s">
        <v>15</v>
      </c>
      <c r="C16" s="6" t="s">
        <v>58</v>
      </c>
      <c r="D16" s="5" t="s">
        <v>17</v>
      </c>
      <c r="E16" s="6" t="s">
        <v>59</v>
      </c>
      <c r="F16" s="5" t="n">
        <v>3</v>
      </c>
      <c r="G16" s="7" t="n">
        <v>2</v>
      </c>
      <c r="H16" s="8" t="n">
        <v>1</v>
      </c>
      <c r="I16" s="5" t="n">
        <v>0</v>
      </c>
      <c r="J16" s="5" t="s">
        <v>60</v>
      </c>
      <c r="K16" s="9" t="s">
        <v>20</v>
      </c>
      <c r="L16" s="10" t="s">
        <v>21</v>
      </c>
    </row>
    <row r="17" customFormat="false" ht="22.35" hidden="false" customHeight="false" outlineLevel="0" collapsed="false">
      <c r="A17" s="4" t="s">
        <v>61</v>
      </c>
      <c r="B17" s="5" t="s">
        <v>15</v>
      </c>
      <c r="C17" s="6" t="s">
        <v>62</v>
      </c>
      <c r="D17" s="5" t="s">
        <v>51</v>
      </c>
      <c r="E17" s="6" t="s">
        <v>63</v>
      </c>
      <c r="F17" s="5" t="n">
        <v>1</v>
      </c>
      <c r="G17" s="5" t="n">
        <v>0</v>
      </c>
      <c r="H17" s="8" t="n">
        <v>1</v>
      </c>
      <c r="I17" s="5" t="n">
        <v>0</v>
      </c>
      <c r="J17" s="5" t="s">
        <v>64</v>
      </c>
      <c r="K17" s="9" t="s">
        <v>20</v>
      </c>
      <c r="L17" s="10" t="s">
        <v>21</v>
      </c>
    </row>
    <row r="18" customFormat="false" ht="22.35" hidden="false" customHeight="false" outlineLevel="0" collapsed="false">
      <c r="A18" s="4" t="s">
        <v>65</v>
      </c>
      <c r="B18" s="5" t="s">
        <v>66</v>
      </c>
      <c r="C18" s="6" t="s">
        <v>67</v>
      </c>
      <c r="D18" s="5" t="s">
        <v>17</v>
      </c>
      <c r="E18" s="6" t="s">
        <v>68</v>
      </c>
      <c r="F18" s="5" t="n">
        <v>1</v>
      </c>
      <c r="G18" s="7" t="n">
        <v>1</v>
      </c>
      <c r="H18" s="5" t="n">
        <v>0</v>
      </c>
      <c r="I18" s="5" t="n">
        <v>0</v>
      </c>
      <c r="J18" s="5" t="s">
        <v>25</v>
      </c>
      <c r="K18" s="9" t="s">
        <v>20</v>
      </c>
      <c r="L18" s="11" t="s">
        <v>26</v>
      </c>
    </row>
    <row r="19" customFormat="false" ht="22.35" hidden="false" customHeight="false" outlineLevel="0" collapsed="false">
      <c r="A19" s="4" t="s">
        <v>69</v>
      </c>
      <c r="B19" s="5" t="s">
        <v>66</v>
      </c>
      <c r="C19" s="6" t="s">
        <v>70</v>
      </c>
      <c r="D19" s="5" t="s">
        <v>17</v>
      </c>
      <c r="E19" s="6" t="s">
        <v>71</v>
      </c>
      <c r="F19" s="5" t="n">
        <v>2</v>
      </c>
      <c r="G19" s="5" t="n">
        <v>0</v>
      </c>
      <c r="H19" s="8" t="n">
        <v>1</v>
      </c>
      <c r="I19" s="12" t="n">
        <v>1</v>
      </c>
      <c r="J19" s="5" t="s">
        <v>72</v>
      </c>
      <c r="K19" s="9" t="s">
        <v>20</v>
      </c>
      <c r="L19" s="10" t="s">
        <v>21</v>
      </c>
    </row>
    <row r="20" customFormat="false" ht="22.35" hidden="false" customHeight="false" outlineLevel="0" collapsed="false">
      <c r="A20" s="4" t="s">
        <v>73</v>
      </c>
      <c r="B20" s="5" t="s">
        <v>66</v>
      </c>
      <c r="C20" s="6" t="s">
        <v>74</v>
      </c>
      <c r="D20" s="5" t="s">
        <v>17</v>
      </c>
      <c r="E20" s="6" t="s">
        <v>75</v>
      </c>
      <c r="F20" s="5" t="n">
        <v>2</v>
      </c>
      <c r="G20" s="7" t="n">
        <v>1</v>
      </c>
      <c r="H20" s="8" t="n">
        <v>1</v>
      </c>
      <c r="I20" s="5" t="n">
        <v>0</v>
      </c>
      <c r="J20" s="5" t="s">
        <v>76</v>
      </c>
      <c r="K20" s="9" t="s">
        <v>20</v>
      </c>
      <c r="L20" s="10" t="s">
        <v>21</v>
      </c>
    </row>
    <row r="21" customFormat="false" ht="15" hidden="false" customHeight="false" outlineLevel="0" collapsed="false">
      <c r="A21" s="4" t="s">
        <v>77</v>
      </c>
      <c r="B21" s="5" t="s">
        <v>66</v>
      </c>
      <c r="C21" s="6" t="s">
        <v>78</v>
      </c>
      <c r="D21" s="5" t="s">
        <v>17</v>
      </c>
      <c r="E21" s="6" t="s">
        <v>79</v>
      </c>
      <c r="F21" s="5" t="n">
        <v>1</v>
      </c>
      <c r="G21" s="5" t="n">
        <v>0</v>
      </c>
      <c r="H21" s="8" t="n">
        <v>1</v>
      </c>
      <c r="I21" s="5" t="n">
        <v>0</v>
      </c>
      <c r="J21" s="5" t="s">
        <v>80</v>
      </c>
      <c r="K21" s="9" t="s">
        <v>20</v>
      </c>
      <c r="L21" s="10" t="s">
        <v>21</v>
      </c>
    </row>
    <row r="22" customFormat="false" ht="32.8" hidden="false" customHeight="false" outlineLevel="0" collapsed="false">
      <c r="A22" s="4" t="s">
        <v>81</v>
      </c>
      <c r="B22" s="5" t="s">
        <v>66</v>
      </c>
      <c r="C22" s="6" t="s">
        <v>82</v>
      </c>
      <c r="D22" s="5" t="s">
        <v>17</v>
      </c>
      <c r="E22" s="6" t="s">
        <v>83</v>
      </c>
      <c r="F22" s="5" t="n">
        <v>1</v>
      </c>
      <c r="G22" s="7" t="n">
        <v>1</v>
      </c>
      <c r="H22" s="5" t="n">
        <v>0</v>
      </c>
      <c r="I22" s="5" t="n">
        <v>0</v>
      </c>
      <c r="J22" s="5" t="s">
        <v>25</v>
      </c>
      <c r="K22" s="9" t="s">
        <v>20</v>
      </c>
      <c r="L22" s="11" t="s">
        <v>26</v>
      </c>
    </row>
    <row r="23" customFormat="false" ht="15" hidden="false" customHeight="true" outlineLevel="0" collapsed="false">
      <c r="A23" s="13" t="s">
        <v>84</v>
      </c>
      <c r="B23" s="13"/>
      <c r="C23" s="13"/>
      <c r="D23" s="13"/>
      <c r="E23" s="13"/>
      <c r="F23" s="14" t="n">
        <f aca="false">SUM(F5:F22)</f>
        <v>44</v>
      </c>
      <c r="G23" s="14" t="n">
        <f aca="false">SUM(G5:G22)</f>
        <v>33</v>
      </c>
      <c r="H23" s="14" t="n">
        <f aca="false">SUM(H5:H22)</f>
        <v>9</v>
      </c>
      <c r="I23" s="14" t="n">
        <f aca="false">SUM(I5:I22)</f>
        <v>2</v>
      </c>
      <c r="J23" s="15"/>
      <c r="K23" s="14" t="str">
        <f aca="false">COUNTIF(K5:K22,"Cubierto")&amp;" / "&amp;COUNTA(K5:K22)</f>
        <v>18 / 18</v>
      </c>
      <c r="L23" s="16" t="n">
        <f aca="false">IFERROR(COUNTIF(K5:K22,"Cubierto")/COUNTA(K5:K22),0)</f>
        <v>1</v>
      </c>
    </row>
    <row r="25" customFormat="false" ht="15" hidden="false" customHeight="true" outlineLevel="0" collapsed="false">
      <c r="A25" s="17" t="s">
        <v>85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</sheetData>
  <autoFilter ref="A4:L22"/>
  <mergeCells count="4">
    <mergeCell ref="A1:L1"/>
    <mergeCell ref="A2:L2"/>
    <mergeCell ref="A23:E23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" t="s">
        <v>86</v>
      </c>
      <c r="B1" s="1"/>
      <c r="C1" s="1"/>
      <c r="D1" s="1"/>
    </row>
    <row r="2" customFormat="false" ht="18" hidden="false" customHeight="true" outlineLevel="0" collapsed="false">
      <c r="A2" s="2" t="s">
        <v>87</v>
      </c>
      <c r="B2" s="2"/>
      <c r="C2" s="2"/>
      <c r="D2" s="2"/>
    </row>
    <row r="4" customFormat="false" ht="30" hidden="false" customHeight="true" outlineLevel="0" collapsed="false">
      <c r="A4" s="3" t="s">
        <v>88</v>
      </c>
      <c r="B4" s="3" t="s">
        <v>89</v>
      </c>
      <c r="C4" s="3" t="s">
        <v>90</v>
      </c>
      <c r="D4" s="3" t="s">
        <v>91</v>
      </c>
    </row>
    <row r="5" customFormat="false" ht="15" hidden="false" customHeight="false" outlineLevel="0" collapsed="false">
      <c r="A5" s="18" t="s">
        <v>15</v>
      </c>
      <c r="B5" s="5" t="n">
        <f aca="false">COUNTIF(Trazabilidad!B5:B22,"Funcional")</f>
        <v>13</v>
      </c>
      <c r="C5" s="5" t="n">
        <f aca="false">SUMIF(Trazabilidad!B5:B22,"Funcional",Trazabilidad!F5:F22)</f>
        <v>37</v>
      </c>
      <c r="D5" s="5" t="n">
        <f aca="false">SUMIF(Trazabilidad!B5:B22,"Funcional",Trazabilidad!H5:H22)</f>
        <v>6</v>
      </c>
    </row>
    <row r="6" customFormat="false" ht="15" hidden="false" customHeight="false" outlineLevel="0" collapsed="false">
      <c r="A6" s="18" t="s">
        <v>66</v>
      </c>
      <c r="B6" s="5" t="n">
        <f aca="false">COUNTIF(Trazabilidad!B5:B22,"No funcional")</f>
        <v>5</v>
      </c>
      <c r="C6" s="5" t="n">
        <f aca="false">SUMIF(Trazabilidad!B5:B22,"No funcional",Trazabilidad!F5:F22)</f>
        <v>7</v>
      </c>
      <c r="D6" s="5" t="n">
        <f aca="false">SUMIF(Trazabilidad!B5:B22,"No funcional",Trazabilidad!H5:H22)</f>
        <v>3</v>
      </c>
    </row>
    <row r="7" customFormat="false" ht="15" hidden="false" customHeight="false" outlineLevel="0" collapsed="false">
      <c r="A7" s="19" t="s">
        <v>92</v>
      </c>
      <c r="B7" s="14" t="n">
        <f aca="false">SUM(B5:B6)</f>
        <v>18</v>
      </c>
      <c r="C7" s="14" t="n">
        <f aca="false">SUM(C5:C6)</f>
        <v>44</v>
      </c>
      <c r="D7" s="14" t="n">
        <f aca="false">SUM(D5:D6)</f>
        <v>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2026-09-20T18:09:07Z</dcterms:created>
  <dc:creator>openpyxl</dc:creator>
  <dc:description/>
  <dc:language>en-US</dc:language>
  <cp:lastModifiedBy/>
  <dcterms:modified xsi:type="dcterms:W3CDTF">2026-09-20T18:09:07Z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