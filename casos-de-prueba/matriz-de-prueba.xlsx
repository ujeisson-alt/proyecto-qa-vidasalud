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sos de prueba" sheetId="2" state="visible" r:id="rId4"/>
  </sheets>
  <definedNames>
    <definedName function="false" hidden="true" localSheetId="1" name="_xlnm._FilterDatabase" vbProcedure="false">'Casos de prueba'!$A$4:$Q$47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<sst xmlns="http://schemas.openxmlformats.org/spreadsheetml/2006/main" count="790" uniqueCount="411">
  <si>
    <t xml:space="preserve">DASHBOARD DE EJECUCION - Sprint 3</t>
  </si>
  <si>
    <t xml:space="preserve">Todos los indicadores se calculan con fórmulas sobre la hoja 'Casos de prueba'</t>
  </si>
  <si>
    <t xml:space="preserve">Indicador</t>
  </si>
  <si>
    <t xml:space="preserve">Valor</t>
  </si>
  <si>
    <t xml:space="preserve">% sobre el total</t>
  </si>
  <si>
    <t xml:space="preserve">Lectura</t>
  </si>
  <si>
    <t xml:space="preserve">Total de casos diseñados</t>
  </si>
  <si>
    <t xml:space="preserve">39 del diseño base + 4 adicionales para cerrar la brecha de cobertura</t>
  </si>
  <si>
    <t xml:space="preserve">Casos ejecutados</t>
  </si>
  <si>
    <t xml:space="preserve">Casos que pudieron correrse de punta a punta</t>
  </si>
  <si>
    <t xml:space="preserve">Passed</t>
  </si>
  <si>
    <t xml:space="preserve">Resultado obtenido igual al esperado</t>
  </si>
  <si>
    <t xml:space="preserve">Failed</t>
  </si>
  <si>
    <t xml:space="preserve">Resultado distinto al esperado - genera bug report</t>
  </si>
  <si>
    <t xml:space="preserve">Blocked</t>
  </si>
  <si>
    <t xml:space="preserve">No se pudo ejecutar por un bug previo o falta de entorno</t>
  </si>
  <si>
    <t xml:space="preserve">% de éxito sobre el total</t>
  </si>
  <si>
    <t xml:space="preserve">Passed / total de casos diseñados</t>
  </si>
  <si>
    <t xml:space="preserve">% de éxito sobre ejecutados</t>
  </si>
  <si>
    <t xml:space="preserve">Passed / casos efectivamente ejecutados (excluye bloqueados)</t>
  </si>
  <si>
    <t xml:space="preserve">Bugs reportados</t>
  </si>
  <si>
    <t xml:space="preserve">1 crítico (S1), 4 mayores (S2), 3 menores (S3), 1 trivial (S4)</t>
  </si>
  <si>
    <t xml:space="preserve">Casos por tipo de prueba</t>
  </si>
  <si>
    <t xml:space="preserve">Cantidad</t>
  </si>
  <si>
    <t xml:space="preserve">Técnica aplicada</t>
  </si>
  <si>
    <t xml:space="preserve">Positivo</t>
  </si>
  <si>
    <t xml:space="preserve">Flujos principales con datos válidos</t>
  </si>
  <si>
    <t xml:space="preserve">Negativo</t>
  </si>
  <si>
    <t xml:space="preserve">Partición de equivalencias - clases inválidas</t>
  </si>
  <si>
    <t xml:space="preserve">Límite</t>
  </si>
  <si>
    <t xml:space="preserve">Valores límite en contraseña, teléfono, foto y direcciones</t>
  </si>
  <si>
    <t xml:space="preserve">Compatibilidad</t>
  </si>
  <si>
    <t xml:space="preserve">Ejecución en Chrome, Firefox y Safari mobile</t>
  </si>
  <si>
    <t xml:space="preserve">Interfaz</t>
  </si>
  <si>
    <t xml:space="preserve">Responsive en 375px y 768px</t>
  </si>
  <si>
    <t xml:space="preserve">No funcional</t>
  </si>
  <si>
    <t xml:space="preserve">Medición de tiempo de carga con DevTools</t>
  </si>
  <si>
    <t xml:space="preserve">TOTAL</t>
  </si>
  <si>
    <t xml:space="preserve">Debe coincidir con el total de casos diseñados</t>
  </si>
  <si>
    <t xml:space="preserve">MATRIZ DE CASOS DE PRUEBA - VidaSalud S.A. | Módulo Registro de Pacientes y Turnos Online</t>
  </si>
  <si>
    <t xml:space="preserve">43 casos (39 del diseño base + 4 adicionales CP-040 a CP-043) | Técnicas: partición de equivalencias y valores límite | Ejecución: Sprint 3</t>
  </si>
  <si>
    <t xml:space="preserve">ID</t>
  </si>
  <si>
    <t xml:space="preserve">Flujo</t>
  </si>
  <si>
    <t xml:space="preserve">Req. asociado</t>
  </si>
  <si>
    <t xml:space="preserve">Descripción del caso</t>
  </si>
  <si>
    <t xml:space="preserve">Tipo</t>
  </si>
  <si>
    <t xml:space="preserve">Prioridad</t>
  </si>
  <si>
    <t xml:space="preserve">Precondiciones</t>
  </si>
  <si>
    <t xml:space="preserve">Pasos para ejecutar</t>
  </si>
  <si>
    <t xml:space="preserve">Datos de prueba</t>
  </si>
  <si>
    <t xml:space="preserve">Resultado esperado</t>
  </si>
  <si>
    <t xml:space="preserve">Resultado obtenido</t>
  </si>
  <si>
    <t xml:space="preserve">Estado</t>
  </si>
  <si>
    <t xml:space="preserve">Navegador / Entorno</t>
  </si>
  <si>
    <t xml:space="preserve">Evidencia</t>
  </si>
  <si>
    <t xml:space="preserve">Bug asociado</t>
  </si>
  <si>
    <t xml:space="preserve">Ejecutado por</t>
  </si>
  <si>
    <t xml:space="preserve">Fecha</t>
  </si>
  <si>
    <t xml:space="preserve">CP-001</t>
  </si>
  <si>
    <t xml:space="preserve">F1 - Registro: validación de DNI</t>
  </si>
  <si>
    <t xml:space="preserve">RF-01</t>
  </si>
  <si>
    <t xml:space="preserve">DNI válido de 8 dígitos es aceptado</t>
  </si>
  <si>
    <t xml:space="preserve">Alta</t>
  </si>
  <si>
    <t xml:space="preserve">Paciente no registrado / navegador en modo incógnito</t>
  </si>
  <si>
    <t xml:space="preserve">1. Ingresar a /registro
2. Escribir un DNI de 8 dígitos
3. Salir del campo (blur)</t>
  </si>
  <si>
    <t xml:space="preserve">20123456</t>
  </si>
  <si>
    <t xml:space="preserve">El DNI se acepta y el campo no muestra errores</t>
  </si>
  <si>
    <t xml:space="preserve">El DNI se acepta correctamente. Se observa que el placeholder del campo dice 'Ingrese su DU' en lugar de 'DNI' (defecto cosmético -&gt; BUG-008)</t>
  </si>
  <si>
    <t xml:space="preserve">Chrome 120</t>
  </si>
  <si>
    <t xml:space="preserve">CP-001-dni-8-digitos-chrome.png</t>
  </si>
  <si>
    <t xml:space="preserve">BUG-008 (cosmético, no bloquea el flujo)</t>
  </si>
  <si>
    <t xml:space="preserve">Jeisson M. Uribe</t>
  </si>
  <si>
    <t xml:space="preserve">06/07/2026</t>
  </si>
  <si>
    <t xml:space="preserve">CP-002</t>
  </si>
  <si>
    <t xml:space="preserve">DNI válido de 7 dígitos es aceptado (límite inferior válido)</t>
  </si>
  <si>
    <t xml:space="preserve">Paciente no registrado</t>
  </si>
  <si>
    <t xml:space="preserve">1. Ingresar a /registro
2. Escribir un DNI de 7 dígitos
3. Salir del campo</t>
  </si>
  <si>
    <t xml:space="preserve">1234567</t>
  </si>
  <si>
    <t xml:space="preserve">El DNI se acepta correctamente</t>
  </si>
  <si>
    <t xml:space="preserve">CP-002-dni-7-digitos-chrome.png</t>
  </si>
  <si>
    <t xml:space="preserve">-</t>
  </si>
  <si>
    <t xml:space="preserve">CP-003</t>
  </si>
  <si>
    <t xml:space="preserve">DNI de 6 dígitos es rechazado (límite inferior - 1)</t>
  </si>
  <si>
    <t xml:space="preserve">1. Ingresar a /registro
2. Escribir un DNI de 6 dígitos
3. Salir del campo</t>
  </si>
  <si>
    <t xml:space="preserve">123456</t>
  </si>
  <si>
    <t xml:space="preserve">Mensaje 'El DNI debe tener entre 7 y 8 dígitos' y el formulario no avanza</t>
  </si>
  <si>
    <t xml:space="preserve">Se muestra el mensaje esperado</t>
  </si>
  <si>
    <t xml:space="preserve">CP-003-dni-6-digitos-chrome.png</t>
  </si>
  <si>
    <t xml:space="preserve">CP-004</t>
  </si>
  <si>
    <t xml:space="preserve">DNI de 9 dígitos es rechazado (límite superior + 1)</t>
  </si>
  <si>
    <t xml:space="preserve">1. Ingresar a /registro
2. Escribir un DNI de 9 dígitos
3. Salir del campo</t>
  </si>
  <si>
    <t xml:space="preserve">123456789</t>
  </si>
  <si>
    <t xml:space="preserve">CP-004-dni-9-digitos-chrome.png</t>
  </si>
  <si>
    <t xml:space="preserve">CP-005</t>
  </si>
  <si>
    <t xml:space="preserve">DNI con caracteres no numéricos es rechazado</t>
  </si>
  <si>
    <t xml:space="preserve">1. Ingresar a /registro
2. Escribir un DNI con letras
3. Salir del campo</t>
  </si>
  <si>
    <t xml:space="preserve">1234AB78</t>
  </si>
  <si>
    <t xml:space="preserve">Mensaje 'El DNI solo admite números' y el formulario no avanza</t>
  </si>
  <si>
    <t xml:space="preserve">CP-005-dni-con-letras-chrome.png</t>
  </si>
  <si>
    <t xml:space="preserve">CP-006</t>
  </si>
  <si>
    <t xml:space="preserve">DNI ya registrado es rechazado con mensaje específico</t>
  </si>
  <si>
    <t xml:space="preserve">Existe un paciente previo registrado con el DNI 20123456</t>
  </si>
  <si>
    <t xml:space="preserve">1. Ingresar a /registro
2. Completar el formulario con un DNI ya registrado
3. Enviar</t>
  </si>
  <si>
    <t xml:space="preserve">20123456 / TestPass1234!</t>
  </si>
  <si>
    <t xml:space="preserve">Mensaje 'Paciente ya registrado. Inicie sesión o recupere su contraseña'</t>
  </si>
  <si>
    <t xml:space="preserve">El sistema muestra el mensaje genérico 'Error inesperado', sin indicar que el DNI ya existe -&gt; BUG-005</t>
  </si>
  <si>
    <t xml:space="preserve">CP-006-dni-duplicado-chrome.png</t>
  </si>
  <si>
    <t xml:space="preserve">BUG-005</t>
  </si>
  <si>
    <t xml:space="preserve">CP-007</t>
  </si>
  <si>
    <t xml:space="preserve">F2 - Registro: validación de email</t>
  </si>
  <si>
    <t xml:space="preserve">RF-02</t>
  </si>
  <si>
    <t xml:space="preserve">Email con formato válido es aceptado</t>
  </si>
  <si>
    <t xml:space="preserve">1. Ingresar a /registro
2. Escribir un email válido
3. Salir del campo</t>
  </si>
  <si>
    <t xml:space="preserve">qa_test01@mail.com</t>
  </si>
  <si>
    <t xml:space="preserve">El campo se valida sin mensajes de error</t>
  </si>
  <si>
    <t xml:space="preserve">El campo se acepta correctamente</t>
  </si>
  <si>
    <t xml:space="preserve">CP-007-email-valido-chrome.png</t>
  </si>
  <si>
    <t xml:space="preserve">CP-008</t>
  </si>
  <si>
    <t xml:space="preserve">Email sin @ muestra error de formato</t>
  </si>
  <si>
    <t xml:space="preserve">1. Ingresar a /registro
2. Escribir un email sin @
3. Salir del campo</t>
  </si>
  <si>
    <t xml:space="preserve">qa_test02mail.com</t>
  </si>
  <si>
    <t xml:space="preserve">Mensaje 'Ingrese un email válido' y el formulario no avanza</t>
  </si>
  <si>
    <t xml:space="preserve">CP-008-email-sin-arroba-chrome.png</t>
  </si>
  <si>
    <t xml:space="preserve">CP-009</t>
  </si>
  <si>
    <t xml:space="preserve">Email sin dominio muestra error de formato</t>
  </si>
  <si>
    <t xml:space="preserve">1. Ingresar a /registro
2. Escribir un email sin dominio
3. Salir del campo</t>
  </si>
  <si>
    <t xml:space="preserve">qa_test02@</t>
  </si>
  <si>
    <t xml:space="preserve">CP-009-email-sin-dominio-chrome.png</t>
  </si>
  <si>
    <t xml:space="preserve">CP-010</t>
  </si>
  <si>
    <t xml:space="preserve">Email ya registrado es rechazado</t>
  </si>
  <si>
    <t xml:space="preserve">Existe un paciente previo con qa_test01@mail.com</t>
  </si>
  <si>
    <t xml:space="preserve">1. Ingresar a /registro
2. Completar el formulario con un email ya registrado
3. Enviar</t>
  </si>
  <si>
    <t xml:space="preserve">Mensaje 'El email ya está en uso'</t>
  </si>
  <si>
    <t xml:space="preserve">CP-010-email-duplicado-chrome.png</t>
  </si>
  <si>
    <t xml:space="preserve">CP-011</t>
  </si>
  <si>
    <t xml:space="preserve">Campo email vacío impide el envío</t>
  </si>
  <si>
    <t xml:space="preserve">1. Ingresar a /registro
2. Dejar el email vacío
3. Completar el resto y enviar</t>
  </si>
  <si>
    <t xml:space="preserve">(vacío)</t>
  </si>
  <si>
    <t xml:space="preserve">Mensaje 'El email es obligatorio'</t>
  </si>
  <si>
    <t xml:space="preserve">CP-011-email-vacio-chrome.png</t>
  </si>
  <si>
    <t xml:space="preserve">CP-012</t>
  </si>
  <si>
    <t xml:space="preserve">F3 - Registro: validación de contraseña</t>
  </si>
  <si>
    <t xml:space="preserve">RF-03</t>
  </si>
  <si>
    <t xml:space="preserve">Contraseña de 7 caracteres es rechazada (límite inferior - 1)</t>
  </si>
  <si>
    <t xml:space="preserve">1. Ingresar a /registro
2. Escribir una contraseña de 7 caracteres
3. Enviar</t>
  </si>
  <si>
    <t xml:space="preserve">Abc123d</t>
  </si>
  <si>
    <t xml:space="preserve">Mensaje 'La contraseña debe tener mínimo 8 caracteres'</t>
  </si>
  <si>
    <t xml:space="preserve">CP-012-password-7-caracteres-chrome.png</t>
  </si>
  <si>
    <t xml:space="preserve">CP-013</t>
  </si>
  <si>
    <t xml:space="preserve">RF-03, RNF-04</t>
  </si>
  <si>
    <t xml:space="preserve">Contraseña válida de 8 caracteres y enmascarado del campo</t>
  </si>
  <si>
    <t xml:space="preserve">Paciente no registrado / navegador sin caché</t>
  </si>
  <si>
    <t xml:space="preserve">1. Ingresar a /registro
2. Hacer clic en el campo 'Contraseña'
3. Escribir la contraseña
4. Observar el campo</t>
  </si>
  <si>
    <t xml:space="preserve">Abcde123</t>
  </si>
  <si>
    <t xml:space="preserve">La contraseña es aceptada y los caracteres se muestran enmascarados; solo se revelan al accionar el ícono del ojo</t>
  </si>
  <si>
    <t xml:space="preserve">La contraseña es aceptada, pero el texto se muestra en claro desde el primer carácter sin accionar el ícono -&gt; BUG-001</t>
  </si>
  <si>
    <t xml:space="preserve">CP-013-password-8-caracteres-chrome.png</t>
  </si>
  <si>
    <t xml:space="preserve">BUG-001</t>
  </si>
  <si>
    <t xml:space="preserve">CP-014</t>
  </si>
  <si>
    <t xml:space="preserve">Contraseña de 8 caracteres sin mayúscula es rechazada</t>
  </si>
  <si>
    <t xml:space="preserve">1. Ingresar a /registro
2. Escribir una contraseña sin mayúscula
3. Enviar</t>
  </si>
  <si>
    <t xml:space="preserve">abcde123</t>
  </si>
  <si>
    <t xml:space="preserve">Mensaje 'La contraseña debe incluir al menos 1 mayúscula'</t>
  </si>
  <si>
    <t xml:space="preserve">CP-014-password-sin-mayuscula-chrome.png</t>
  </si>
  <si>
    <t xml:space="preserve">CP-015</t>
  </si>
  <si>
    <t xml:space="preserve">Contraseña de 8 caracteres sin número es rechazada</t>
  </si>
  <si>
    <t xml:space="preserve">1. Ingresar a /registro
2. Escribir una contraseña sin número
3. Enviar</t>
  </si>
  <si>
    <t xml:space="preserve">AbcdefGH</t>
  </si>
  <si>
    <t xml:space="preserve">Mensaje 'La contraseña debe incluir al menos 1 número'</t>
  </si>
  <si>
    <t xml:space="preserve">CP-015-password-sin-numero-chrome.png</t>
  </si>
  <si>
    <t xml:space="preserve">CP-016</t>
  </si>
  <si>
    <t xml:space="preserve">RF-04</t>
  </si>
  <si>
    <t xml:space="preserve">Confirmación de contraseña distinta es rechazada</t>
  </si>
  <si>
    <t xml:space="preserve">1. Ingresar a /registro
2. Escribir la contraseña
3. Escribir una confirmación distinta
4. Enviar</t>
  </si>
  <si>
    <t xml:space="preserve">TestPass1234! / TestPass1235!</t>
  </si>
  <si>
    <t xml:space="preserve">Mensaje 'Las contraseñas no coinciden' y el alta no se completa</t>
  </si>
  <si>
    <t xml:space="preserve">CP-016-confirmacion-distinta-chrome.png</t>
  </si>
  <si>
    <t xml:space="preserve">CP-017</t>
  </si>
  <si>
    <t xml:space="preserve">Campo contraseña vacío impide el envío</t>
  </si>
  <si>
    <t xml:space="preserve">1. Ingresar a /registro
2. Dejar la contraseña vacía
3. Enviar</t>
  </si>
  <si>
    <t xml:space="preserve">Mensaje 'La contraseña es obligatoria'</t>
  </si>
  <si>
    <t xml:space="preserve">CP-017-password-vacio-chrome.png</t>
  </si>
  <si>
    <t xml:space="preserve">CP-018</t>
  </si>
  <si>
    <t xml:space="preserve">F4 - Registro: obra social y consentimientos</t>
  </si>
  <si>
    <t xml:space="preserve">RF-05</t>
  </si>
  <si>
    <t xml:space="preserve">Seleccionar una obra social del listado habilita continuar</t>
  </si>
  <si>
    <t xml:space="preserve">Paciente no registrado / listado de prestadores cargado</t>
  </si>
  <si>
    <t xml:space="preserve">1. Ingresar a /registro
2. Abrir el desplegable de obra social
3. Seleccionar un prestador</t>
  </si>
  <si>
    <t xml:space="preserve">Obra social: OSDE</t>
  </si>
  <si>
    <t xml:space="preserve">La cobertura queda seleccionada y el formulario habilita continuar</t>
  </si>
  <si>
    <t xml:space="preserve">La cobertura se selecciona correctamente</t>
  </si>
  <si>
    <t xml:space="preserve">CP-018-obra-social-listado-chrome.png</t>
  </si>
  <si>
    <t xml:space="preserve">CP-019</t>
  </si>
  <si>
    <t xml:space="preserve">Seleccionar 'Particular' (sin obra social) habilita continuar</t>
  </si>
  <si>
    <t xml:space="preserve">1. Ingresar a /registro
2. Abrir el desplegable de obra social
3. Seleccionar 'Particular'</t>
  </si>
  <si>
    <t xml:space="preserve">Particular</t>
  </si>
  <si>
    <t xml:space="preserve">La opción se acepta y el formulario habilita continuar</t>
  </si>
  <si>
    <t xml:space="preserve">La opción se acepta correctamente</t>
  </si>
  <si>
    <t xml:space="preserve">CP-019-obra-social-particular-chrome.png</t>
  </si>
  <si>
    <t xml:space="preserve">CP-020</t>
  </si>
  <si>
    <t xml:space="preserve">RF-06</t>
  </si>
  <si>
    <t xml:space="preserve">No marcar T&amp;C bloquea el registro</t>
  </si>
  <si>
    <t xml:space="preserve">Formulario completo con datos válidos</t>
  </si>
  <si>
    <t xml:space="preserve">1. Completar todos los campos válidos
2. NO marcar el checkbox de T&amp;C
3. Clic en 'Registrarme'</t>
  </si>
  <si>
    <t xml:space="preserve">qa_test03@mail.com / TestPass1234!</t>
  </si>
  <si>
    <t xml:space="preserve">Mensaje 'Debe aceptar los términos y condiciones' y el alta no se realiza</t>
  </si>
  <si>
    <t xml:space="preserve">Se muestra el mensaje esperado y no se crea la cuenta</t>
  </si>
  <si>
    <t xml:space="preserve">CP-020-tyc-sin-marcar-chrome.png</t>
  </si>
  <si>
    <t xml:space="preserve">CP-021</t>
  </si>
  <si>
    <t xml:space="preserve">No marcar el consentimiento de datos de salud bloquea el registro</t>
  </si>
  <si>
    <t xml:space="preserve">Formulario completo con datos válidos y T&amp;C marcado</t>
  </si>
  <si>
    <t xml:space="preserve">1. Completar todos los campos válidos
2. Marcar T&amp;C
3. NO marcar el consentimiento de datos de salud
4. Enviar</t>
  </si>
  <si>
    <t xml:space="preserve">qa_test04@mail.com / TestPass1234!</t>
  </si>
  <si>
    <t xml:space="preserve">Mensaje 'Debe aceptar el consentimiento de datos de salud' y el alta no se realiza</t>
  </si>
  <si>
    <t xml:space="preserve">CP-021-consentimiento-sin-marcar-chrome.png</t>
  </si>
  <si>
    <t xml:space="preserve">CP-022</t>
  </si>
  <si>
    <t xml:space="preserve">Con ambos checkboxes marcados y datos válidos el registro se completa</t>
  </si>
  <si>
    <t xml:space="preserve">1. Completar todos los campos válidos
2. Marcar T&amp;C y consentimiento
3. Clic en 'Registrarme'</t>
  </si>
  <si>
    <t xml:space="preserve">20123457 / qa_test05@mail.com / TestPass1234!</t>
  </si>
  <si>
    <t xml:space="preserve">La cuenta se crea y se redirige a la pantalla de verificación del código</t>
  </si>
  <si>
    <t xml:space="preserve">La cuenta se crea correctamente</t>
  </si>
  <si>
    <t xml:space="preserve">CP-022-registro-exitoso-chrome.png</t>
  </si>
  <si>
    <t xml:space="preserve">CP-023</t>
  </si>
  <si>
    <t xml:space="preserve">RF-07</t>
  </si>
  <si>
    <t xml:space="preserve">El email con el código de verificación llega en menos de 5 minutos</t>
  </si>
  <si>
    <t xml:space="preserve">Registro recién completado con CP-022</t>
  </si>
  <si>
    <t xml:space="preserve">1. Completar el registro
2. Abrir la casilla del email registrado
3. Cronometrar la llegada
4. Repetir 3 veces</t>
  </si>
  <si>
    <t xml:space="preserve">qa_test05@mail.com</t>
  </si>
  <si>
    <t xml:space="preserve">El email con el código de 6 dígitos llega en menos de 5 minutos</t>
  </si>
  <si>
    <t xml:space="preserve">El email llega recién a los 20 minutos (medido en 3 ejecuciones: 19:40, 20:15 y 21:02) -&gt; BUG-003</t>
  </si>
  <si>
    <t xml:space="preserve">CP-023-email-verificacion-demora-chrome.png</t>
  </si>
  <si>
    <t xml:space="preserve">BUG-003</t>
  </si>
  <si>
    <t xml:space="preserve">09/07/2026</t>
  </si>
  <si>
    <t xml:space="preserve">CP-024</t>
  </si>
  <si>
    <t xml:space="preserve">El código de verificación de 6 dígitos habilita la cuenta</t>
  </si>
  <si>
    <t xml:space="preserve">El email con el código fue recibido</t>
  </si>
  <si>
    <t xml:space="preserve">1. Abrir el email de verificación
2. Copiar el código de 6 dígitos
3. Ingresarlo en la pantalla de verificación</t>
  </si>
  <si>
    <t xml:space="preserve">Código de 6 dígitos</t>
  </si>
  <si>
    <t xml:space="preserve">El código es aceptado y la cuenta queda habilitada</t>
  </si>
  <si>
    <t xml:space="preserve">BLOQUEADO: el email no llega dentro de la ventana de ejecución definida por BUG-003, por lo que no puede verificarse el código</t>
  </si>
  <si>
    <t xml:space="preserve">CP-024-bloqueado-por-BUG-003.png</t>
  </si>
  <si>
    <t xml:space="preserve">Bloqueado por BUG-003</t>
  </si>
  <si>
    <t xml:space="preserve">CP-025</t>
  </si>
  <si>
    <t xml:space="preserve">F5 - Reserva de turno</t>
  </si>
  <si>
    <t xml:space="preserve">RF-08</t>
  </si>
  <si>
    <t xml:space="preserve">Buscar una especialidad devuelve los profesionales disponibles</t>
  </si>
  <si>
    <t xml:space="preserve">Paciente logueado con cuenta verificada</t>
  </si>
  <si>
    <t xml:space="preserve">1. Ingresar a /turnos
2. Buscar 'Cardiología'
3. Revisar el listado de resultados</t>
  </si>
  <si>
    <t xml:space="preserve">Especialidad: Cardiología</t>
  </si>
  <si>
    <t xml:space="preserve">Se muestra la lista de cardiólogos con su agenda disponible</t>
  </si>
  <si>
    <t xml:space="preserve">La búsqueda devuelve el listado esperado</t>
  </si>
  <si>
    <t xml:space="preserve">CP-025-busqueda-cardiologia-chrome.png</t>
  </si>
  <si>
    <t xml:space="preserve">CP-026</t>
  </si>
  <si>
    <t xml:space="preserve">RF-09</t>
  </si>
  <si>
    <t xml:space="preserve">Seleccionar un horario disponible reserva el turno</t>
  </si>
  <si>
    <t xml:space="preserve">Paciente logueado / profesional con agenda disponible</t>
  </si>
  <si>
    <t xml:space="preserve">1. Seleccionar un profesional
2. Elegir una fecha y un horario disponibles
3. Completar el motivo
4. Confirmar el turno</t>
  </si>
  <si>
    <t xml:space="preserve">Cardiología / 10:30</t>
  </si>
  <si>
    <t xml:space="preserve">El turno queda reservado y aparece en el historial como activo</t>
  </si>
  <si>
    <t xml:space="preserve">El turno se reserva correctamente</t>
  </si>
  <si>
    <t xml:space="preserve">CP-026-reserva-horario-disponible-chrome.png</t>
  </si>
  <si>
    <t xml:space="preserve">CP-027</t>
  </si>
  <si>
    <t xml:space="preserve">Intentar reservar un horario ya ocupado es rechazado</t>
  </si>
  <si>
    <t xml:space="preserve">Existe un turno ya reservado en el horario elegido</t>
  </si>
  <si>
    <t xml:space="preserve">1. Seleccionar el profesional
2. Elegir un horario marcado como ocupado
3. Confirmar</t>
  </si>
  <si>
    <t xml:space="preserve">Horario ocupado: 11:00</t>
  </si>
  <si>
    <t xml:space="preserve">Mensaje 'El horario ya no está disponible' y la reserva no se realiza</t>
  </si>
  <si>
    <t xml:space="preserve">CP-027-horario-no-disponible-chrome.png</t>
  </si>
  <si>
    <t xml:space="preserve">CP-028</t>
  </si>
  <si>
    <t xml:space="preserve">Intentar reservar un turno en una fecha pasada es rechazado</t>
  </si>
  <si>
    <t xml:space="preserve">Paciente logueado</t>
  </si>
  <si>
    <t xml:space="preserve">1. Seleccionar el profesional
2. Elegir una fecha anterior a hoy en el calendario
3. Confirmar</t>
  </si>
  <si>
    <t xml:space="preserve">Fecha: 10/06/2026</t>
  </si>
  <si>
    <t xml:space="preserve">La fecha pasada no es seleccionable o se rechaza con mensaje</t>
  </si>
  <si>
    <t xml:space="preserve">La fecha pasada aparece deshabilitada en el calendario</t>
  </si>
  <si>
    <t xml:space="preserve">CP-028-fecha-pasada-chrome.png</t>
  </si>
  <si>
    <t xml:space="preserve">CP-029</t>
  </si>
  <si>
    <t xml:space="preserve">RF-10</t>
  </si>
  <si>
    <t xml:space="preserve">Motivo de consulta con 250 caracteres es aceptado (límite exacto)</t>
  </si>
  <si>
    <t xml:space="preserve">Media</t>
  </si>
  <si>
    <t xml:space="preserve">Paciente logueado en el formulario de reserva</t>
  </si>
  <si>
    <t xml:space="preserve">1. Completar el motivo con exactamente 250 caracteres
2. Confirmar el turno</t>
  </si>
  <si>
    <t xml:space="preserve">Texto de 250 caracteres</t>
  </si>
  <si>
    <t xml:space="preserve">El motivo se acepta y el turno se reserva</t>
  </si>
  <si>
    <t xml:space="preserve">El motivo se acepta correctamente</t>
  </si>
  <si>
    <t xml:space="preserve">CP-029-motivo-250-caracteres-chrome.png</t>
  </si>
  <si>
    <t xml:space="preserve">CP-030</t>
  </si>
  <si>
    <t xml:space="preserve">Motivo de consulta con 251 caracteres es rechazado o truncado</t>
  </si>
  <si>
    <t xml:space="preserve">1. Pegar un texto de 251 caracteres en el motivo
2. Revisar el contador
3. Confirmar el turno</t>
  </si>
  <si>
    <t xml:space="preserve">Texto de 251 caracteres</t>
  </si>
  <si>
    <t xml:space="preserve">El campo no admite más de 250 caracteres o muestra el mensaje 'Máximo 250 caracteres'</t>
  </si>
  <si>
    <t xml:space="preserve">El campo acepta hasta 300 caracteres y el turno se guarda con el texto completo, incumpliendo RF-10 -&gt; BUG-006</t>
  </si>
  <si>
    <t xml:space="preserve">CP-030-motivo-251-caracteres-chrome.png</t>
  </si>
  <si>
    <t xml:space="preserve">BUG-006</t>
  </si>
  <si>
    <t xml:space="preserve">CP-031</t>
  </si>
  <si>
    <t xml:space="preserve">Campo motivo de consulta vacío impide confirmar el turno</t>
  </si>
  <si>
    <t xml:space="preserve">1. Dejar el motivo vacío
2. Confirmar el turno</t>
  </si>
  <si>
    <t xml:space="preserve">Mensaje 'El motivo de consulta es obligatorio' y el turno no se reserva</t>
  </si>
  <si>
    <t xml:space="preserve">CP-031-motivo-vacio-chrome.png</t>
  </si>
  <si>
    <t xml:space="preserve">CP-032</t>
  </si>
  <si>
    <t xml:space="preserve">RF-11</t>
  </si>
  <si>
    <t xml:space="preserve">El email de confirmación del turno llega en menos de 5 minutos</t>
  </si>
  <si>
    <t xml:space="preserve">Turno recién reservado con CP-026</t>
  </si>
  <si>
    <t xml:space="preserve">1. Reservar un turno
2. Abrir la casilla del paciente
3. Cronometrar la llegada</t>
  </si>
  <si>
    <t xml:space="preserve">El email de confirmación llega en menos de 5 minutos con fecha, hora, profesional y motivo</t>
  </si>
  <si>
    <t xml:space="preserve">El email llega a los 2 minutos con todos los datos correctos</t>
  </si>
  <si>
    <t xml:space="preserve">CP-032-email-confirmacion-turno-chrome.png</t>
  </si>
  <si>
    <t xml:space="preserve">CP-033</t>
  </si>
  <si>
    <t xml:space="preserve">F6 - Cancelación de turno</t>
  </si>
  <si>
    <t xml:space="preserve">RF-12</t>
  </si>
  <si>
    <t xml:space="preserve">Cancelar un turno con más de 2 horas de anticipación</t>
  </si>
  <si>
    <t xml:space="preserve">Paciente con un turno activo a más de 2 horas de distancia</t>
  </si>
  <si>
    <t xml:space="preserve">1. Ingresar a 'Mis turnos'
2. Elegir el turno activo
3. Clic en 'Cancelar turno'
4. Confirmar</t>
  </si>
  <si>
    <t xml:space="preserve">Turno a 48 hs</t>
  </si>
  <si>
    <t xml:space="preserve">El turno se cancela y llega el email de confirmación de cancelación</t>
  </si>
  <si>
    <t xml:space="preserve">El turno se cancela y el email llega correctamente</t>
  </si>
  <si>
    <t xml:space="preserve">CP-033-cancelacion-anticipada-chrome.png</t>
  </si>
  <si>
    <t xml:space="preserve">CP-034</t>
  </si>
  <si>
    <t xml:space="preserve">Intentar cancelar dentro de las 2 horas previas es rechazado (límite)</t>
  </si>
  <si>
    <t xml:space="preserve">Paciente con un turno activo dentro de las 2 horas siguientes</t>
  </si>
  <si>
    <t xml:space="preserve">1. Ingresar a 'Mis turnos'
2. Elegir el turno próximo
3. Clic en 'Cancelar turno'</t>
  </si>
  <si>
    <t xml:space="preserve">Turno a 1 h 30 min</t>
  </si>
  <si>
    <t xml:space="preserve">Mensaje 'No es posible cancelar con menos de 2 horas de anticipación' y el turno sigue activo</t>
  </si>
  <si>
    <t xml:space="preserve">Se muestra el mensaje esperado y el turno permanece activo</t>
  </si>
  <si>
    <t xml:space="preserve">CP-034-cancelacion-tardia-chrome.png</t>
  </si>
  <si>
    <t xml:space="preserve">CP-035</t>
  </si>
  <si>
    <t xml:space="preserve">El turno cancelado aparece identificado en el historial</t>
  </si>
  <si>
    <t xml:space="preserve">Existe un turno cancelado con CP-033</t>
  </si>
  <si>
    <t xml:space="preserve">1. Ingresar a 'Mis turnos'
2. Abrir la pestaña de historial
3. Buscar el turno cancelado</t>
  </si>
  <si>
    <t xml:space="preserve">Turno cancelado en CP-033</t>
  </si>
  <si>
    <t xml:space="preserve">El turno figura con el estado 'Cancelado', visualmente diferenciado de los turnos activos</t>
  </si>
  <si>
    <t xml:space="preserve">El turno aparece en el historial, pero sin ninguna marca de estado: activos y cancelados se ven idénticos -&gt; BUG-007</t>
  </si>
  <si>
    <t xml:space="preserve">CP-035-historial-turnos-chrome.png</t>
  </si>
  <si>
    <t xml:space="preserve">BUG-007</t>
  </si>
  <si>
    <t xml:space="preserve">CP-036</t>
  </si>
  <si>
    <t xml:space="preserve">F7 - Compatibilidad y responsive</t>
  </si>
  <si>
    <t xml:space="preserve">RNF-02</t>
  </si>
  <si>
    <t xml:space="preserve">Flujo de registro completo en Firefox equivalente a Chrome</t>
  </si>
  <si>
    <t xml:space="preserve">Firefox 121 instalado / paciente no registrado</t>
  </si>
  <si>
    <t xml:space="preserve">1. Ingresar a /registro en Firefox
2. Completar el formulario válido
3. Marcar ambos checkboxes
4. Clic en 'Registrarme'
5. Revisar la consola (F12)</t>
  </si>
  <si>
    <t xml:space="preserve">20123458 / qa_test06@mail.com / TestPass1234!</t>
  </si>
  <si>
    <t xml:space="preserve">La cuenta se crea igual que en Chrome, sin errores en consola</t>
  </si>
  <si>
    <t xml:space="preserve">El botón 'Registrarme' no responde al clic. No se dispara ninguna petición en Network y la consola muestra 'Uncaught TypeError: e.submitForm is not a function' -&gt; BUG-002</t>
  </si>
  <si>
    <t xml:space="preserve">Firefox 121</t>
  </si>
  <si>
    <t xml:space="preserve">CP-036-registro-firefox.png</t>
  </si>
  <si>
    <t xml:space="preserve">BUG-002</t>
  </si>
  <si>
    <t xml:space="preserve">CP-037</t>
  </si>
  <si>
    <t xml:space="preserve">Flujo de registro en Safari mobile</t>
  </si>
  <si>
    <t xml:space="preserve">Dispositivo iOS con Safari</t>
  </si>
  <si>
    <t xml:space="preserve">1. Ingresar a /registro desde Safari mobile
2. Completar el formulario válido
3. Enviar</t>
  </si>
  <si>
    <t xml:space="preserve">qa_test07@mail.com / TestPass1234!</t>
  </si>
  <si>
    <t xml:space="preserve">La cuenta se crea igual que en Chrome, sin diferencias visuales ni funcionales</t>
  </si>
  <si>
    <t xml:space="preserve">BLOQUEADO: no se dispone de dispositivo iOS ni de laboratorio de dispositivos en el entorno asignado. Riesgo de cobertura informado a la QA Lead</t>
  </si>
  <si>
    <t xml:space="preserve">Safari mobile</t>
  </si>
  <si>
    <t xml:space="preserve">CP-037-bloqueado-sin-dispositivo-ios.png</t>
  </si>
  <si>
    <t xml:space="preserve">Sin bug asociado - bloqueo de entorno</t>
  </si>
  <si>
    <t xml:space="preserve">CP-038</t>
  </si>
  <si>
    <t xml:space="preserve">RNF-03</t>
  </si>
  <si>
    <t xml:space="preserve">Registro y reserva de turno en mobile 375 px</t>
  </si>
  <si>
    <t xml:space="preserve">DevTools en modo responsive 375 px / paciente logueado</t>
  </si>
  <si>
    <t xml:space="preserve">1. Abrir /registro y /turnos con DevTools en 375 px
2. Completar una reserva
3. Intentar presionar 'Confirmar turno'</t>
  </si>
  <si>
    <t xml:space="preserve">Viewport 375x667</t>
  </si>
  <si>
    <t xml:space="preserve">Todos los controles son visibles y operables, sin scroll horizontal</t>
  </si>
  <si>
    <t xml:space="preserve">El formulario de registro se adapta, pero en la reserva el botón 'Confirmar turno' queda fuera del viewport y no puede accionarse -&gt; BUG-004</t>
  </si>
  <si>
    <t xml:space="preserve">Chrome 120 (responsive)</t>
  </si>
  <si>
    <t xml:space="preserve">CP-038-responsive-375px-chrome.png</t>
  </si>
  <si>
    <t xml:space="preserve">BUG-004</t>
  </si>
  <si>
    <t xml:space="preserve">CP-039</t>
  </si>
  <si>
    <t xml:space="preserve">Calendario de turnos en tablet 768 px</t>
  </si>
  <si>
    <t xml:space="preserve">DevTools en modo responsive 768 px</t>
  </si>
  <si>
    <t xml:space="preserve">1. Abrir /turnos con DevTools en 768 px
2. Abrir el calendario de un profesional
3. Revisar el layout</t>
  </si>
  <si>
    <t xml:space="preserve">Viewport 768x1024</t>
  </si>
  <si>
    <t xml:space="preserve">El calendario se adapta sin superposiciones ni scroll horizontal</t>
  </si>
  <si>
    <t xml:space="preserve">El layout se adapta correctamente</t>
  </si>
  <si>
    <t xml:space="preserve">CP-039-responsive-768px-chrome.png</t>
  </si>
  <si>
    <t xml:space="preserve">CP-040</t>
  </si>
  <si>
    <t xml:space="preserve">F8 - Casos adicionales de cobertura</t>
  </si>
  <si>
    <t xml:space="preserve">RF-13</t>
  </si>
  <si>
    <t xml:space="preserve">Recordatorio por email 24 horas antes del turno</t>
  </si>
  <si>
    <t xml:space="preserve">Paciente con un turno programado a 25 horas</t>
  </si>
  <si>
    <t xml:space="preserve">1. Reservar un turno a más de 24 hs
2. Esperar a la franja de 24 hs previas
3. Revisar la casilla del paciente
4. Repetir con 2 turnos más</t>
  </si>
  <si>
    <t xml:space="preserve">3 turnos de prueba</t>
  </si>
  <si>
    <t xml:space="preserve">El recordatorio llega dentro de las 24 horas previas al turno</t>
  </si>
  <si>
    <t xml:space="preserve">No llega ningún recordatorio en ninguno de los 3 turnos probados. RF-13 no está implementado o la tarea programada no se ejecuta -&gt; BUG-009</t>
  </si>
  <si>
    <t xml:space="preserve">CP-040-recordatorio-24hs-chrome.png</t>
  </si>
  <si>
    <t xml:space="preserve">BUG-009</t>
  </si>
  <si>
    <t xml:space="preserve">CP-041</t>
  </si>
  <si>
    <t xml:space="preserve">RNF-01</t>
  </si>
  <si>
    <t xml:space="preserve">Tiempo de respuesta del formulario menor a 3 segundos</t>
  </si>
  <si>
    <t xml:space="preserve">Navegador sin caché / DevTools abierto en Network</t>
  </si>
  <si>
    <t xml:space="preserve">1. Abrir DevTools &gt; Network con 'Disable cache'
2. Enviar el formulario de registro
3. Medir el tiempo de respuesta (3 mediciones)</t>
  </si>
  <si>
    <t xml:space="preserve">Mediciones: 1,42 s / 1,68 s / 1,55 s</t>
  </si>
  <si>
    <t xml:space="preserve">Ninguna acción del formulario supera los 3.000 ms</t>
  </si>
  <si>
    <t xml:space="preserve">Promedio de 1,55 s en las 3 mediciones</t>
  </si>
  <si>
    <t xml:space="preserve">CP-041-tiempo-respuesta-chrome.png</t>
  </si>
  <si>
    <t xml:space="preserve">CP-042</t>
  </si>
  <si>
    <t xml:space="preserve">RNF-05</t>
  </si>
  <si>
    <t xml:space="preserve">Los datos de salud no se exponen en la URL ni quedan en caché</t>
  </si>
  <si>
    <t xml:space="preserve">Paciente logueado con un turno reservado</t>
  </si>
  <si>
    <t xml:space="preserve">1. Recorrer el flujo de reserva revisando la barra de direcciones
2. Cerrar sesión
3. Usar el botón Atrás del navegador
4. Revisar DevTools &gt; Application</t>
  </si>
  <si>
    <t xml:space="preserve">Motivo de consulta y especialidad</t>
  </si>
  <si>
    <t xml:space="preserve">Ningún dato de salud viaja en la URL y, tras cerrar sesión, el botón Atrás no muestra información del paciente</t>
  </si>
  <si>
    <t xml:space="preserve">No se observan datos de salud en la URL y la sesión se limpia correctamente al cerrar sesión</t>
  </si>
  <si>
    <t xml:space="preserve">CP-042-privacidad-datos-salud-chrome.png</t>
  </si>
  <si>
    <t xml:space="preserve">CP-043</t>
  </si>
  <si>
    <t xml:space="preserve">Filtrar especialidades por cobertura de la obra social</t>
  </si>
  <si>
    <t xml:space="preserve">Paciente logueado con obra social OSDE cargada</t>
  </si>
  <si>
    <t xml:space="preserve">1. Ingresar a /turnos
2. Activar el filtro 'Solo profesionales que atienden mi obra social'
3. Revisar el listado</t>
  </si>
  <si>
    <t xml:space="preserve">El listado muestra únicamente profesionales que atienden esa cobertura</t>
  </si>
  <si>
    <t xml:space="preserve">El filtro se aplica correctamente y el listado se reduce a los profesionales con esa cobertura</t>
  </si>
  <si>
    <t xml:space="preserve">CP-043-filtro-obra-social-chrome.png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</si>
</sst>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COUNTA('Casos de prueba'!A5:A47)</f>
        <v>43</v>
      </c>
      <c r="C5" s="6"/>
      <c r="D5" s="7" t="s">
        <v>7</v>
      </c>
    </row>
    <row r="6" customFormat="false" ht="15" hidden="false" customHeight="false" outlineLevel="0" collapsed="false">
      <c r="A6" s="4" t="s">
        <v>8</v>
      </c>
      <c r="B6" s="5" t="n">
        <f aca="false">COUNTIF('Casos de prueba'!L5:L47,"Passed")+COUNTIF('Casos de prueba'!L5:L47,"Failed")</f>
        <v>41</v>
      </c>
      <c r="C6" s="8" t="n">
        <f aca="false">B6/COUNTA('Casos de prueba'!A5:A47)</f>
        <v>0.953488372093023</v>
      </c>
      <c r="D6" s="7" t="s">
        <v>9</v>
      </c>
    </row>
    <row r="7" customFormat="false" ht="15" hidden="false" customHeight="false" outlineLevel="0" collapsed="false">
      <c r="A7" s="9" t="s">
        <v>10</v>
      </c>
      <c r="B7" s="10" t="n">
        <f aca="false">COUNTIF('Casos de prueba'!L5:L47,"Passed")</f>
        <v>33</v>
      </c>
      <c r="C7" s="11" t="n">
        <f aca="false">B7/COUNTA('Casos de prueba'!A5:A47)</f>
        <v>0.767441860465116</v>
      </c>
      <c r="D7" s="12" t="s">
        <v>11</v>
      </c>
    </row>
    <row r="8" customFormat="false" ht="15" hidden="false" customHeight="false" outlineLevel="0" collapsed="false">
      <c r="A8" s="13" t="s">
        <v>12</v>
      </c>
      <c r="B8" s="14" t="n">
        <f aca="false">COUNTIF('Casos de prueba'!L5:L47,"Failed")</f>
        <v>8</v>
      </c>
      <c r="C8" s="15" t="n">
        <f aca="false">B8/COUNTA('Casos de prueba'!A5:A47)</f>
        <v>0.186046511627907</v>
      </c>
      <c r="D8" s="16" t="s">
        <v>13</v>
      </c>
    </row>
    <row r="9" customFormat="false" ht="15" hidden="false" customHeight="false" outlineLevel="0" collapsed="false">
      <c r="A9" s="17" t="s">
        <v>14</v>
      </c>
      <c r="B9" s="18" t="n">
        <f aca="false">COUNTIF('Casos de prueba'!L5:L47,"Blocked")</f>
        <v>2</v>
      </c>
      <c r="C9" s="19" t="n">
        <f aca="false">B9/COUNTA('Casos de prueba'!A5:A47)</f>
        <v>0.0465116279069767</v>
      </c>
      <c r="D9" s="20" t="s">
        <v>15</v>
      </c>
    </row>
    <row r="10" customFormat="false" ht="15" hidden="false" customHeight="false" outlineLevel="0" collapsed="false">
      <c r="A10" s="4" t="s">
        <v>16</v>
      </c>
      <c r="B10" s="21" t="n">
        <f aca="false">IFERROR(B7/COUNTA('Casos de prueba'!A5:A47),0)</f>
        <v>0.767441860465116</v>
      </c>
      <c r="C10" s="6"/>
      <c r="D10" s="7" t="s">
        <v>17</v>
      </c>
    </row>
    <row r="11" customFormat="false" ht="15" hidden="false" customHeight="false" outlineLevel="0" collapsed="false">
      <c r="A11" s="4" t="s">
        <v>18</v>
      </c>
      <c r="B11" s="21" t="n">
        <f aca="false">IFERROR(B7/B6,0)</f>
        <v>0.804878048780488</v>
      </c>
      <c r="C11" s="6"/>
      <c r="D11" s="7" t="s">
        <v>19</v>
      </c>
    </row>
    <row r="12" customFormat="false" ht="15" hidden="false" customHeight="false" outlineLevel="0" collapsed="false">
      <c r="A12" s="4" t="s">
        <v>20</v>
      </c>
      <c r="B12" s="5" t="n">
        <f aca="false">9</f>
        <v>9</v>
      </c>
      <c r="C12" s="6"/>
      <c r="D12" s="7" t="s">
        <v>21</v>
      </c>
    </row>
    <row r="14" customFormat="false" ht="30" hidden="false" customHeight="true" outlineLevel="0" collapsed="false">
      <c r="A14" s="22" t="s">
        <v>22</v>
      </c>
      <c r="B14" s="22" t="s">
        <v>23</v>
      </c>
      <c r="C14" s="22" t="s">
        <v>4</v>
      </c>
      <c r="D14" s="22" t="s">
        <v>24</v>
      </c>
    </row>
    <row r="15" customFormat="false" ht="15" hidden="false" customHeight="false" outlineLevel="0" collapsed="false">
      <c r="A15" s="4" t="s">
        <v>25</v>
      </c>
      <c r="B15" s="6" t="n">
        <f aca="false">COUNTIF('Casos de prueba'!E5:E47,"Positivo")</f>
        <v>14</v>
      </c>
      <c r="C15" s="8" t="n">
        <f aca="false">IFERROR(B15/COUNTA('Casos de prueba'!A5:A47),0)</f>
        <v>0.325581395348837</v>
      </c>
      <c r="D15" s="7" t="s">
        <v>26</v>
      </c>
    </row>
    <row r="16" customFormat="false" ht="15" hidden="false" customHeight="false" outlineLevel="0" collapsed="false">
      <c r="A16" s="4" t="s">
        <v>27</v>
      </c>
      <c r="B16" s="6" t="n">
        <f aca="false">COUNTIF('Casos de prueba'!E5:E47,"Negativo")</f>
        <v>15</v>
      </c>
      <c r="C16" s="8" t="n">
        <f aca="false">IFERROR(B16/COUNTA('Casos de prueba'!A5:A47),0)</f>
        <v>0.348837209302326</v>
      </c>
      <c r="D16" s="7" t="s">
        <v>28</v>
      </c>
    </row>
    <row r="17" customFormat="false" ht="15" hidden="false" customHeight="false" outlineLevel="0" collapsed="false">
      <c r="A17" s="4" t="s">
        <v>29</v>
      </c>
      <c r="B17" s="6" t="n">
        <f aca="false">COUNTIF('Casos de prueba'!E5:E47,"Límite")</f>
        <v>8</v>
      </c>
      <c r="C17" s="8" t="n">
        <f aca="false">IFERROR(B17/COUNTA('Casos de prueba'!A5:A47),0)</f>
        <v>0.186046511627907</v>
      </c>
      <c r="D17" s="7" t="s">
        <v>30</v>
      </c>
    </row>
    <row r="18" customFormat="false" ht="15" hidden="false" customHeight="false" outlineLevel="0" collapsed="false">
      <c r="A18" s="4" t="s">
        <v>31</v>
      </c>
      <c r="B18" s="6" t="n">
        <f aca="false">COUNTIF('Casos de prueba'!E5:E47,"Compatibilidad")</f>
        <v>2</v>
      </c>
      <c r="C18" s="8" t="n">
        <f aca="false">IFERROR(B18/COUNTA('Casos de prueba'!A5:A47),0)</f>
        <v>0.0465116279069767</v>
      </c>
      <c r="D18" s="7" t="s">
        <v>32</v>
      </c>
    </row>
    <row r="19" customFormat="false" ht="15" hidden="false" customHeight="false" outlineLevel="0" collapsed="false">
      <c r="A19" s="4" t="s">
        <v>33</v>
      </c>
      <c r="B19" s="6" t="n">
        <f aca="false">COUNTIF('Casos de prueba'!E5:E47,"Interfaz")</f>
        <v>2</v>
      </c>
      <c r="C19" s="8" t="n">
        <f aca="false">IFERROR(B19/COUNTA('Casos de prueba'!A5:A47),0)</f>
        <v>0.0465116279069767</v>
      </c>
      <c r="D19" s="7" t="s">
        <v>34</v>
      </c>
    </row>
    <row r="20" customFormat="false" ht="15" hidden="false" customHeight="false" outlineLevel="0" collapsed="false">
      <c r="A20" s="4" t="s">
        <v>35</v>
      </c>
      <c r="B20" s="6" t="n">
        <f aca="false">COUNTIF('Casos de prueba'!E5:E47,"No funcional")</f>
        <v>2</v>
      </c>
      <c r="C20" s="8" t="n">
        <f aca="false">IFERROR(B20/COUNTA('Casos de prueba'!A5:A47),0)</f>
        <v>0.0465116279069767</v>
      </c>
      <c r="D20" s="7" t="s">
        <v>36</v>
      </c>
    </row>
    <row r="21" customFormat="false" ht="15" hidden="false" customHeight="false" outlineLevel="0" collapsed="false">
      <c r="A21" s="23" t="s">
        <v>37</v>
      </c>
      <c r="B21" s="24" t="n">
        <f aca="false">SUM(B15:B20)</f>
        <v>43</v>
      </c>
      <c r="C21" s="25" t="n">
        <f aca="false">IFERROR(B21/COUNTA('Casos de prueba'!A5:A47),0)</f>
        <v>1</v>
      </c>
      <c r="D21" s="26" t="s">
        <v>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6"/>
    <col collapsed="false" customWidth="true" hidden="false" outlineLevel="0" max="11" min="11" style="0" width="52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25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0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57</v>
      </c>
    </row>
    <row r="5" customFormat="false" ht="61.5" hidden="false" customHeight="true" outlineLevel="0" collapsed="false">
      <c r="A5" s="5" t="s">
        <v>58</v>
      </c>
      <c r="B5" s="7" t="s">
        <v>59</v>
      </c>
      <c r="C5" s="6" t="s">
        <v>60</v>
      </c>
      <c r="D5" s="7" t="s">
        <v>61</v>
      </c>
      <c r="E5" s="6" t="s">
        <v>25</v>
      </c>
      <c r="F5" s="6" t="s">
        <v>62</v>
      </c>
      <c r="G5" s="7" t="s">
        <v>63</v>
      </c>
      <c r="H5" s="7" t="s">
        <v>64</v>
      </c>
      <c r="I5" s="7" t="s">
        <v>65</v>
      </c>
      <c r="J5" s="7" t="s">
        <v>66</v>
      </c>
      <c r="K5" s="7" t="s">
        <v>67</v>
      </c>
      <c r="L5" s="27" t="s">
        <v>10</v>
      </c>
      <c r="M5" s="6" t="s">
        <v>68</v>
      </c>
      <c r="N5" s="7" t="s">
        <v>69</v>
      </c>
      <c r="O5" s="6" t="s">
        <v>70</v>
      </c>
      <c r="P5" s="6" t="s">
        <v>71</v>
      </c>
      <c r="Q5" s="6" t="s">
        <v>72</v>
      </c>
    </row>
    <row r="6" customFormat="false" ht="61.5" hidden="false" customHeight="true" outlineLevel="0" collapsed="false">
      <c r="A6" s="5" t="s">
        <v>73</v>
      </c>
      <c r="B6" s="7" t="s">
        <v>59</v>
      </c>
      <c r="C6" s="6" t="s">
        <v>60</v>
      </c>
      <c r="D6" s="7" t="s">
        <v>74</v>
      </c>
      <c r="E6" s="6" t="s">
        <v>29</v>
      </c>
      <c r="F6" s="6" t="s">
        <v>62</v>
      </c>
      <c r="G6" s="7" t="s">
        <v>75</v>
      </c>
      <c r="H6" s="7" t="s">
        <v>76</v>
      </c>
      <c r="I6" s="7" t="s">
        <v>77</v>
      </c>
      <c r="J6" s="7" t="s">
        <v>66</v>
      </c>
      <c r="K6" s="7" t="s">
        <v>78</v>
      </c>
      <c r="L6" s="27" t="s">
        <v>10</v>
      </c>
      <c r="M6" s="6" t="s">
        <v>68</v>
      </c>
      <c r="N6" s="7" t="s">
        <v>79</v>
      </c>
      <c r="O6" s="6" t="s">
        <v>80</v>
      </c>
      <c r="P6" s="6" t="s">
        <v>71</v>
      </c>
      <c r="Q6" s="6" t="s">
        <v>72</v>
      </c>
    </row>
    <row r="7" customFormat="false" ht="61.5" hidden="false" customHeight="true" outlineLevel="0" collapsed="false">
      <c r="A7" s="5" t="s">
        <v>81</v>
      </c>
      <c r="B7" s="7" t="s">
        <v>59</v>
      </c>
      <c r="C7" s="6" t="s">
        <v>60</v>
      </c>
      <c r="D7" s="7" t="s">
        <v>82</v>
      </c>
      <c r="E7" s="6" t="s">
        <v>29</v>
      </c>
      <c r="F7" s="6" t="s">
        <v>62</v>
      </c>
      <c r="G7" s="7" t="s">
        <v>75</v>
      </c>
      <c r="H7" s="7" t="s">
        <v>83</v>
      </c>
      <c r="I7" s="7" t="s">
        <v>84</v>
      </c>
      <c r="J7" s="7" t="s">
        <v>85</v>
      </c>
      <c r="K7" s="7" t="s">
        <v>86</v>
      </c>
      <c r="L7" s="27" t="s">
        <v>10</v>
      </c>
      <c r="M7" s="6" t="s">
        <v>68</v>
      </c>
      <c r="N7" s="7" t="s">
        <v>87</v>
      </c>
      <c r="O7" s="6" t="s">
        <v>80</v>
      </c>
      <c r="P7" s="6" t="s">
        <v>71</v>
      </c>
      <c r="Q7" s="6" t="s">
        <v>72</v>
      </c>
    </row>
    <row r="8" customFormat="false" ht="61.5" hidden="false" customHeight="true" outlineLevel="0" collapsed="false">
      <c r="A8" s="5" t="s">
        <v>88</v>
      </c>
      <c r="B8" s="7" t="s">
        <v>59</v>
      </c>
      <c r="C8" s="6" t="s">
        <v>60</v>
      </c>
      <c r="D8" s="7" t="s">
        <v>89</v>
      </c>
      <c r="E8" s="6" t="s">
        <v>29</v>
      </c>
      <c r="F8" s="6" t="s">
        <v>62</v>
      </c>
      <c r="G8" s="7" t="s">
        <v>75</v>
      </c>
      <c r="H8" s="7" t="s">
        <v>90</v>
      </c>
      <c r="I8" s="7" t="s">
        <v>91</v>
      </c>
      <c r="J8" s="7" t="s">
        <v>85</v>
      </c>
      <c r="K8" s="7" t="s">
        <v>86</v>
      </c>
      <c r="L8" s="27" t="s">
        <v>10</v>
      </c>
      <c r="M8" s="6" t="s">
        <v>68</v>
      </c>
      <c r="N8" s="7" t="s">
        <v>92</v>
      </c>
      <c r="O8" s="6" t="s">
        <v>80</v>
      </c>
      <c r="P8" s="6" t="s">
        <v>71</v>
      </c>
      <c r="Q8" s="6" t="s">
        <v>72</v>
      </c>
    </row>
    <row r="9" customFormat="false" ht="61.5" hidden="false" customHeight="true" outlineLevel="0" collapsed="false">
      <c r="A9" s="5" t="s">
        <v>93</v>
      </c>
      <c r="B9" s="7" t="s">
        <v>59</v>
      </c>
      <c r="C9" s="6" t="s">
        <v>60</v>
      </c>
      <c r="D9" s="7" t="s">
        <v>94</v>
      </c>
      <c r="E9" s="6" t="s">
        <v>27</v>
      </c>
      <c r="F9" s="6" t="s">
        <v>62</v>
      </c>
      <c r="G9" s="7" t="s">
        <v>75</v>
      </c>
      <c r="H9" s="7" t="s">
        <v>95</v>
      </c>
      <c r="I9" s="7" t="s">
        <v>96</v>
      </c>
      <c r="J9" s="7" t="s">
        <v>97</v>
      </c>
      <c r="K9" s="7" t="s">
        <v>86</v>
      </c>
      <c r="L9" s="27" t="s">
        <v>10</v>
      </c>
      <c r="M9" s="6" t="s">
        <v>68</v>
      </c>
      <c r="N9" s="7" t="s">
        <v>98</v>
      </c>
      <c r="O9" s="6" t="s">
        <v>80</v>
      </c>
      <c r="P9" s="6" t="s">
        <v>71</v>
      </c>
      <c r="Q9" s="6" t="s">
        <v>72</v>
      </c>
    </row>
    <row r="10" customFormat="false" ht="61.5" hidden="false" customHeight="true" outlineLevel="0" collapsed="false">
      <c r="A10" s="5" t="s">
        <v>99</v>
      </c>
      <c r="B10" s="7" t="s">
        <v>59</v>
      </c>
      <c r="C10" s="6" t="s">
        <v>60</v>
      </c>
      <c r="D10" s="7" t="s">
        <v>100</v>
      </c>
      <c r="E10" s="6" t="s">
        <v>27</v>
      </c>
      <c r="F10" s="6" t="s">
        <v>62</v>
      </c>
      <c r="G10" s="7" t="s">
        <v>101</v>
      </c>
      <c r="H10" s="7" t="s">
        <v>102</v>
      </c>
      <c r="I10" s="7" t="s">
        <v>103</v>
      </c>
      <c r="J10" s="7" t="s">
        <v>104</v>
      </c>
      <c r="K10" s="7" t="s">
        <v>105</v>
      </c>
      <c r="L10" s="28" t="s">
        <v>12</v>
      </c>
      <c r="M10" s="6" t="s">
        <v>68</v>
      </c>
      <c r="N10" s="7" t="s">
        <v>106</v>
      </c>
      <c r="O10" s="6" t="s">
        <v>107</v>
      </c>
      <c r="P10" s="6" t="s">
        <v>71</v>
      </c>
      <c r="Q10" s="6" t="s">
        <v>72</v>
      </c>
    </row>
    <row r="11" customFormat="false" ht="61.5" hidden="false" customHeight="true" outlineLevel="0" collapsed="false">
      <c r="A11" s="5" t="s">
        <v>108</v>
      </c>
      <c r="B11" s="7" t="s">
        <v>109</v>
      </c>
      <c r="C11" s="6" t="s">
        <v>110</v>
      </c>
      <c r="D11" s="7" t="s">
        <v>111</v>
      </c>
      <c r="E11" s="6" t="s">
        <v>25</v>
      </c>
      <c r="F11" s="6" t="s">
        <v>62</v>
      </c>
      <c r="G11" s="7" t="s">
        <v>75</v>
      </c>
      <c r="H11" s="7" t="s">
        <v>112</v>
      </c>
      <c r="I11" s="7" t="s">
        <v>113</v>
      </c>
      <c r="J11" s="7" t="s">
        <v>114</v>
      </c>
      <c r="K11" s="7" t="s">
        <v>115</v>
      </c>
      <c r="L11" s="27" t="s">
        <v>10</v>
      </c>
      <c r="M11" s="6" t="s">
        <v>68</v>
      </c>
      <c r="N11" s="7" t="s">
        <v>116</v>
      </c>
      <c r="O11" s="6" t="s">
        <v>80</v>
      </c>
      <c r="P11" s="6" t="s">
        <v>71</v>
      </c>
      <c r="Q11" s="6" t="s">
        <v>72</v>
      </c>
    </row>
    <row r="12" customFormat="false" ht="61.5" hidden="false" customHeight="true" outlineLevel="0" collapsed="false">
      <c r="A12" s="5" t="s">
        <v>117</v>
      </c>
      <c r="B12" s="7" t="s">
        <v>109</v>
      </c>
      <c r="C12" s="6" t="s">
        <v>110</v>
      </c>
      <c r="D12" s="7" t="s">
        <v>118</v>
      </c>
      <c r="E12" s="6" t="s">
        <v>27</v>
      </c>
      <c r="F12" s="6" t="s">
        <v>62</v>
      </c>
      <c r="G12" s="7" t="s">
        <v>75</v>
      </c>
      <c r="H12" s="7" t="s">
        <v>119</v>
      </c>
      <c r="I12" s="7" t="s">
        <v>120</v>
      </c>
      <c r="J12" s="7" t="s">
        <v>121</v>
      </c>
      <c r="K12" s="7" t="s">
        <v>86</v>
      </c>
      <c r="L12" s="27" t="s">
        <v>10</v>
      </c>
      <c r="M12" s="6" t="s">
        <v>68</v>
      </c>
      <c r="N12" s="7" t="s">
        <v>122</v>
      </c>
      <c r="O12" s="6" t="s">
        <v>80</v>
      </c>
      <c r="P12" s="6" t="s">
        <v>71</v>
      </c>
      <c r="Q12" s="6" t="s">
        <v>72</v>
      </c>
    </row>
    <row r="13" customFormat="false" ht="61.5" hidden="false" customHeight="true" outlineLevel="0" collapsed="false">
      <c r="A13" s="5" t="s">
        <v>123</v>
      </c>
      <c r="B13" s="7" t="s">
        <v>109</v>
      </c>
      <c r="C13" s="6" t="s">
        <v>110</v>
      </c>
      <c r="D13" s="7" t="s">
        <v>124</v>
      </c>
      <c r="E13" s="6" t="s">
        <v>27</v>
      </c>
      <c r="F13" s="6" t="s">
        <v>62</v>
      </c>
      <c r="G13" s="7" t="s">
        <v>75</v>
      </c>
      <c r="H13" s="7" t="s">
        <v>125</v>
      </c>
      <c r="I13" s="7" t="s">
        <v>126</v>
      </c>
      <c r="J13" s="7" t="s">
        <v>121</v>
      </c>
      <c r="K13" s="7" t="s">
        <v>86</v>
      </c>
      <c r="L13" s="27" t="s">
        <v>10</v>
      </c>
      <c r="M13" s="6" t="s">
        <v>68</v>
      </c>
      <c r="N13" s="7" t="s">
        <v>127</v>
      </c>
      <c r="O13" s="6" t="s">
        <v>80</v>
      </c>
      <c r="P13" s="6" t="s">
        <v>71</v>
      </c>
      <c r="Q13" s="6" t="s">
        <v>72</v>
      </c>
    </row>
    <row r="14" customFormat="false" ht="61.5" hidden="false" customHeight="true" outlineLevel="0" collapsed="false">
      <c r="A14" s="5" t="s">
        <v>128</v>
      </c>
      <c r="B14" s="7" t="s">
        <v>109</v>
      </c>
      <c r="C14" s="6" t="s">
        <v>110</v>
      </c>
      <c r="D14" s="7" t="s">
        <v>129</v>
      </c>
      <c r="E14" s="6" t="s">
        <v>27</v>
      </c>
      <c r="F14" s="6" t="s">
        <v>62</v>
      </c>
      <c r="G14" s="7" t="s">
        <v>130</v>
      </c>
      <c r="H14" s="7" t="s">
        <v>131</v>
      </c>
      <c r="I14" s="7" t="s">
        <v>113</v>
      </c>
      <c r="J14" s="7" t="s">
        <v>132</v>
      </c>
      <c r="K14" s="7" t="s">
        <v>86</v>
      </c>
      <c r="L14" s="27" t="s">
        <v>10</v>
      </c>
      <c r="M14" s="6" t="s">
        <v>68</v>
      </c>
      <c r="N14" s="7" t="s">
        <v>133</v>
      </c>
      <c r="O14" s="6" t="s">
        <v>80</v>
      </c>
      <c r="P14" s="6" t="s">
        <v>71</v>
      </c>
      <c r="Q14" s="6" t="s">
        <v>72</v>
      </c>
    </row>
    <row r="15" customFormat="false" ht="61.5" hidden="false" customHeight="true" outlineLevel="0" collapsed="false">
      <c r="A15" s="5" t="s">
        <v>134</v>
      </c>
      <c r="B15" s="7" t="s">
        <v>109</v>
      </c>
      <c r="C15" s="6" t="s">
        <v>110</v>
      </c>
      <c r="D15" s="7" t="s">
        <v>135</v>
      </c>
      <c r="E15" s="6" t="s">
        <v>27</v>
      </c>
      <c r="F15" s="6" t="s">
        <v>62</v>
      </c>
      <c r="G15" s="7" t="s">
        <v>75</v>
      </c>
      <c r="H15" s="7" t="s">
        <v>136</v>
      </c>
      <c r="I15" s="7" t="s">
        <v>137</v>
      </c>
      <c r="J15" s="7" t="s">
        <v>138</v>
      </c>
      <c r="K15" s="7" t="s">
        <v>86</v>
      </c>
      <c r="L15" s="27" t="s">
        <v>10</v>
      </c>
      <c r="M15" s="6" t="s">
        <v>68</v>
      </c>
      <c r="N15" s="7" t="s">
        <v>139</v>
      </c>
      <c r="O15" s="6" t="s">
        <v>80</v>
      </c>
      <c r="P15" s="6" t="s">
        <v>71</v>
      </c>
      <c r="Q15" s="6" t="s">
        <v>72</v>
      </c>
    </row>
    <row r="16" customFormat="false" ht="61.5" hidden="false" customHeight="true" outlineLevel="0" collapsed="false">
      <c r="A16" s="5" t="s">
        <v>140</v>
      </c>
      <c r="B16" s="7" t="s">
        <v>141</v>
      </c>
      <c r="C16" s="6" t="s">
        <v>142</v>
      </c>
      <c r="D16" s="7" t="s">
        <v>143</v>
      </c>
      <c r="E16" s="6" t="s">
        <v>29</v>
      </c>
      <c r="F16" s="6" t="s">
        <v>62</v>
      </c>
      <c r="G16" s="7" t="s">
        <v>75</v>
      </c>
      <c r="H16" s="7" t="s">
        <v>144</v>
      </c>
      <c r="I16" s="7" t="s">
        <v>145</v>
      </c>
      <c r="J16" s="7" t="s">
        <v>146</v>
      </c>
      <c r="K16" s="7" t="s">
        <v>86</v>
      </c>
      <c r="L16" s="27" t="s">
        <v>10</v>
      </c>
      <c r="M16" s="6" t="s">
        <v>68</v>
      </c>
      <c r="N16" s="7" t="s">
        <v>147</v>
      </c>
      <c r="O16" s="6" t="s">
        <v>80</v>
      </c>
      <c r="P16" s="6" t="s">
        <v>71</v>
      </c>
      <c r="Q16" s="6" t="s">
        <v>72</v>
      </c>
    </row>
    <row r="17" customFormat="false" ht="61.5" hidden="false" customHeight="true" outlineLevel="0" collapsed="false">
      <c r="A17" s="5" t="s">
        <v>148</v>
      </c>
      <c r="B17" s="7" t="s">
        <v>141</v>
      </c>
      <c r="C17" s="6" t="s">
        <v>149</v>
      </c>
      <c r="D17" s="7" t="s">
        <v>150</v>
      </c>
      <c r="E17" s="6" t="s">
        <v>29</v>
      </c>
      <c r="F17" s="6" t="s">
        <v>62</v>
      </c>
      <c r="G17" s="7" t="s">
        <v>151</v>
      </c>
      <c r="H17" s="7" t="s">
        <v>152</v>
      </c>
      <c r="I17" s="7" t="s">
        <v>153</v>
      </c>
      <c r="J17" s="7" t="s">
        <v>154</v>
      </c>
      <c r="K17" s="7" t="s">
        <v>155</v>
      </c>
      <c r="L17" s="28" t="s">
        <v>12</v>
      </c>
      <c r="M17" s="6" t="s">
        <v>68</v>
      </c>
      <c r="N17" s="7" t="s">
        <v>156</v>
      </c>
      <c r="O17" s="6" t="s">
        <v>157</v>
      </c>
      <c r="P17" s="6" t="s">
        <v>71</v>
      </c>
      <c r="Q17" s="6" t="s">
        <v>72</v>
      </c>
    </row>
    <row r="18" customFormat="false" ht="61.5" hidden="false" customHeight="true" outlineLevel="0" collapsed="false">
      <c r="A18" s="5" t="s">
        <v>158</v>
      </c>
      <c r="B18" s="7" t="s">
        <v>141</v>
      </c>
      <c r="C18" s="6" t="s">
        <v>142</v>
      </c>
      <c r="D18" s="7" t="s">
        <v>159</v>
      </c>
      <c r="E18" s="6" t="s">
        <v>27</v>
      </c>
      <c r="F18" s="6" t="s">
        <v>62</v>
      </c>
      <c r="G18" s="7" t="s">
        <v>75</v>
      </c>
      <c r="H18" s="7" t="s">
        <v>160</v>
      </c>
      <c r="I18" s="7" t="s">
        <v>161</v>
      </c>
      <c r="J18" s="7" t="s">
        <v>162</v>
      </c>
      <c r="K18" s="7" t="s">
        <v>86</v>
      </c>
      <c r="L18" s="27" t="s">
        <v>10</v>
      </c>
      <c r="M18" s="6" t="s">
        <v>68</v>
      </c>
      <c r="N18" s="7" t="s">
        <v>163</v>
      </c>
      <c r="O18" s="6" t="s">
        <v>80</v>
      </c>
      <c r="P18" s="6" t="s">
        <v>71</v>
      </c>
      <c r="Q18" s="6" t="s">
        <v>72</v>
      </c>
    </row>
    <row r="19" customFormat="false" ht="61.5" hidden="false" customHeight="true" outlineLevel="0" collapsed="false">
      <c r="A19" s="5" t="s">
        <v>164</v>
      </c>
      <c r="B19" s="7" t="s">
        <v>141</v>
      </c>
      <c r="C19" s="6" t="s">
        <v>142</v>
      </c>
      <c r="D19" s="7" t="s">
        <v>165</v>
      </c>
      <c r="E19" s="6" t="s">
        <v>27</v>
      </c>
      <c r="F19" s="6" t="s">
        <v>62</v>
      </c>
      <c r="G19" s="7" t="s">
        <v>75</v>
      </c>
      <c r="H19" s="7" t="s">
        <v>166</v>
      </c>
      <c r="I19" s="7" t="s">
        <v>167</v>
      </c>
      <c r="J19" s="7" t="s">
        <v>168</v>
      </c>
      <c r="K19" s="7" t="s">
        <v>86</v>
      </c>
      <c r="L19" s="27" t="s">
        <v>10</v>
      </c>
      <c r="M19" s="6" t="s">
        <v>68</v>
      </c>
      <c r="N19" s="7" t="s">
        <v>169</v>
      </c>
      <c r="O19" s="6" t="s">
        <v>80</v>
      </c>
      <c r="P19" s="6" t="s">
        <v>71</v>
      </c>
      <c r="Q19" s="6" t="s">
        <v>72</v>
      </c>
    </row>
    <row r="20" customFormat="false" ht="61.5" hidden="false" customHeight="true" outlineLevel="0" collapsed="false">
      <c r="A20" s="5" t="s">
        <v>170</v>
      </c>
      <c r="B20" s="7" t="s">
        <v>141</v>
      </c>
      <c r="C20" s="6" t="s">
        <v>171</v>
      </c>
      <c r="D20" s="7" t="s">
        <v>172</v>
      </c>
      <c r="E20" s="6" t="s">
        <v>27</v>
      </c>
      <c r="F20" s="6" t="s">
        <v>62</v>
      </c>
      <c r="G20" s="7" t="s">
        <v>75</v>
      </c>
      <c r="H20" s="7" t="s">
        <v>173</v>
      </c>
      <c r="I20" s="7" t="s">
        <v>174</v>
      </c>
      <c r="J20" s="7" t="s">
        <v>175</v>
      </c>
      <c r="K20" s="7" t="s">
        <v>86</v>
      </c>
      <c r="L20" s="27" t="s">
        <v>10</v>
      </c>
      <c r="M20" s="6" t="s">
        <v>68</v>
      </c>
      <c r="N20" s="7" t="s">
        <v>176</v>
      </c>
      <c r="O20" s="6" t="s">
        <v>80</v>
      </c>
      <c r="P20" s="6" t="s">
        <v>71</v>
      </c>
      <c r="Q20" s="6" t="s">
        <v>72</v>
      </c>
    </row>
    <row r="21" customFormat="false" ht="61.5" hidden="false" customHeight="true" outlineLevel="0" collapsed="false">
      <c r="A21" s="5" t="s">
        <v>177</v>
      </c>
      <c r="B21" s="7" t="s">
        <v>141</v>
      </c>
      <c r="C21" s="6" t="s">
        <v>142</v>
      </c>
      <c r="D21" s="7" t="s">
        <v>178</v>
      </c>
      <c r="E21" s="6" t="s">
        <v>27</v>
      </c>
      <c r="F21" s="6" t="s">
        <v>62</v>
      </c>
      <c r="G21" s="7" t="s">
        <v>75</v>
      </c>
      <c r="H21" s="7" t="s">
        <v>179</v>
      </c>
      <c r="I21" s="7" t="s">
        <v>137</v>
      </c>
      <c r="J21" s="7" t="s">
        <v>180</v>
      </c>
      <c r="K21" s="7" t="s">
        <v>86</v>
      </c>
      <c r="L21" s="27" t="s">
        <v>10</v>
      </c>
      <c r="M21" s="6" t="s">
        <v>68</v>
      </c>
      <c r="N21" s="7" t="s">
        <v>181</v>
      </c>
      <c r="O21" s="6" t="s">
        <v>80</v>
      </c>
      <c r="P21" s="6" t="s">
        <v>71</v>
      </c>
      <c r="Q21" s="6" t="s">
        <v>72</v>
      </c>
    </row>
    <row r="22" customFormat="false" ht="61.5" hidden="false" customHeight="true" outlineLevel="0" collapsed="false">
      <c r="A22" s="5" t="s">
        <v>182</v>
      </c>
      <c r="B22" s="7" t="s">
        <v>183</v>
      </c>
      <c r="C22" s="6" t="s">
        <v>184</v>
      </c>
      <c r="D22" s="7" t="s">
        <v>185</v>
      </c>
      <c r="E22" s="6" t="s">
        <v>25</v>
      </c>
      <c r="F22" s="6" t="s">
        <v>62</v>
      </c>
      <c r="G22" s="7" t="s">
        <v>186</v>
      </c>
      <c r="H22" s="7" t="s">
        <v>187</v>
      </c>
      <c r="I22" s="7" t="s">
        <v>188</v>
      </c>
      <c r="J22" s="7" t="s">
        <v>189</v>
      </c>
      <c r="K22" s="7" t="s">
        <v>190</v>
      </c>
      <c r="L22" s="27" t="s">
        <v>10</v>
      </c>
      <c r="M22" s="6" t="s">
        <v>68</v>
      </c>
      <c r="N22" s="7" t="s">
        <v>191</v>
      </c>
      <c r="O22" s="6" t="s">
        <v>80</v>
      </c>
      <c r="P22" s="6" t="s">
        <v>71</v>
      </c>
      <c r="Q22" s="6" t="s">
        <v>72</v>
      </c>
    </row>
    <row r="23" customFormat="false" ht="61.5" hidden="false" customHeight="true" outlineLevel="0" collapsed="false">
      <c r="A23" s="5" t="s">
        <v>192</v>
      </c>
      <c r="B23" s="7" t="s">
        <v>183</v>
      </c>
      <c r="C23" s="6" t="s">
        <v>184</v>
      </c>
      <c r="D23" s="7" t="s">
        <v>193</v>
      </c>
      <c r="E23" s="6" t="s">
        <v>25</v>
      </c>
      <c r="F23" s="6" t="s">
        <v>62</v>
      </c>
      <c r="G23" s="7" t="s">
        <v>75</v>
      </c>
      <c r="H23" s="7" t="s">
        <v>194</v>
      </c>
      <c r="I23" s="7" t="s">
        <v>195</v>
      </c>
      <c r="J23" s="7" t="s">
        <v>196</v>
      </c>
      <c r="K23" s="7" t="s">
        <v>197</v>
      </c>
      <c r="L23" s="27" t="s">
        <v>10</v>
      </c>
      <c r="M23" s="6" t="s">
        <v>68</v>
      </c>
      <c r="N23" s="7" t="s">
        <v>198</v>
      </c>
      <c r="O23" s="6" t="s">
        <v>80</v>
      </c>
      <c r="P23" s="6" t="s">
        <v>71</v>
      </c>
      <c r="Q23" s="6" t="s">
        <v>72</v>
      </c>
    </row>
    <row r="24" customFormat="false" ht="61.5" hidden="false" customHeight="true" outlineLevel="0" collapsed="false">
      <c r="A24" s="5" t="s">
        <v>199</v>
      </c>
      <c r="B24" s="7" t="s">
        <v>183</v>
      </c>
      <c r="C24" s="6" t="s">
        <v>200</v>
      </c>
      <c r="D24" s="7" t="s">
        <v>201</v>
      </c>
      <c r="E24" s="6" t="s">
        <v>27</v>
      </c>
      <c r="F24" s="6" t="s">
        <v>62</v>
      </c>
      <c r="G24" s="7" t="s">
        <v>202</v>
      </c>
      <c r="H24" s="7" t="s">
        <v>203</v>
      </c>
      <c r="I24" s="7" t="s">
        <v>204</v>
      </c>
      <c r="J24" s="7" t="s">
        <v>205</v>
      </c>
      <c r="K24" s="7" t="s">
        <v>206</v>
      </c>
      <c r="L24" s="27" t="s">
        <v>10</v>
      </c>
      <c r="M24" s="6" t="s">
        <v>68</v>
      </c>
      <c r="N24" s="7" t="s">
        <v>207</v>
      </c>
      <c r="O24" s="6" t="s">
        <v>80</v>
      </c>
      <c r="P24" s="6" t="s">
        <v>71</v>
      </c>
      <c r="Q24" s="6" t="s">
        <v>72</v>
      </c>
    </row>
    <row r="25" customFormat="false" ht="61.5" hidden="false" customHeight="true" outlineLevel="0" collapsed="false">
      <c r="A25" s="5" t="s">
        <v>208</v>
      </c>
      <c r="B25" s="7" t="s">
        <v>183</v>
      </c>
      <c r="C25" s="6" t="s">
        <v>200</v>
      </c>
      <c r="D25" s="7" t="s">
        <v>209</v>
      </c>
      <c r="E25" s="6" t="s">
        <v>27</v>
      </c>
      <c r="F25" s="6" t="s">
        <v>62</v>
      </c>
      <c r="G25" s="7" t="s">
        <v>210</v>
      </c>
      <c r="H25" s="7" t="s">
        <v>211</v>
      </c>
      <c r="I25" s="7" t="s">
        <v>212</v>
      </c>
      <c r="J25" s="7" t="s">
        <v>213</v>
      </c>
      <c r="K25" s="7" t="s">
        <v>86</v>
      </c>
      <c r="L25" s="27" t="s">
        <v>10</v>
      </c>
      <c r="M25" s="6" t="s">
        <v>68</v>
      </c>
      <c r="N25" s="7" t="s">
        <v>214</v>
      </c>
      <c r="O25" s="6" t="s">
        <v>80</v>
      </c>
      <c r="P25" s="6" t="s">
        <v>71</v>
      </c>
      <c r="Q25" s="6" t="s">
        <v>72</v>
      </c>
    </row>
    <row r="26" customFormat="false" ht="61.5" hidden="false" customHeight="true" outlineLevel="0" collapsed="false">
      <c r="A26" s="5" t="s">
        <v>215</v>
      </c>
      <c r="B26" s="7" t="s">
        <v>183</v>
      </c>
      <c r="C26" s="6" t="s">
        <v>200</v>
      </c>
      <c r="D26" s="7" t="s">
        <v>216</v>
      </c>
      <c r="E26" s="6" t="s">
        <v>25</v>
      </c>
      <c r="F26" s="6" t="s">
        <v>62</v>
      </c>
      <c r="G26" s="7" t="s">
        <v>75</v>
      </c>
      <c r="H26" s="7" t="s">
        <v>217</v>
      </c>
      <c r="I26" s="7" t="s">
        <v>218</v>
      </c>
      <c r="J26" s="7" t="s">
        <v>219</v>
      </c>
      <c r="K26" s="7" t="s">
        <v>220</v>
      </c>
      <c r="L26" s="27" t="s">
        <v>10</v>
      </c>
      <c r="M26" s="6" t="s">
        <v>68</v>
      </c>
      <c r="N26" s="7" t="s">
        <v>221</v>
      </c>
      <c r="O26" s="6" t="s">
        <v>80</v>
      </c>
      <c r="P26" s="6" t="s">
        <v>71</v>
      </c>
      <c r="Q26" s="6" t="s">
        <v>72</v>
      </c>
    </row>
    <row r="27" customFormat="false" ht="61.5" hidden="false" customHeight="true" outlineLevel="0" collapsed="false">
      <c r="A27" s="5" t="s">
        <v>222</v>
      </c>
      <c r="B27" s="7" t="s">
        <v>183</v>
      </c>
      <c r="C27" s="6" t="s">
        <v>223</v>
      </c>
      <c r="D27" s="7" t="s">
        <v>224</v>
      </c>
      <c r="E27" s="6" t="s">
        <v>25</v>
      </c>
      <c r="F27" s="6" t="s">
        <v>62</v>
      </c>
      <c r="G27" s="7" t="s">
        <v>225</v>
      </c>
      <c r="H27" s="7" t="s">
        <v>226</v>
      </c>
      <c r="I27" s="7" t="s">
        <v>227</v>
      </c>
      <c r="J27" s="7" t="s">
        <v>228</v>
      </c>
      <c r="K27" s="7" t="s">
        <v>229</v>
      </c>
      <c r="L27" s="28" t="s">
        <v>12</v>
      </c>
      <c r="M27" s="6" t="s">
        <v>68</v>
      </c>
      <c r="N27" s="7" t="s">
        <v>230</v>
      </c>
      <c r="O27" s="6" t="s">
        <v>231</v>
      </c>
      <c r="P27" s="6" t="s">
        <v>71</v>
      </c>
      <c r="Q27" s="6" t="s">
        <v>232</v>
      </c>
    </row>
    <row r="28" customFormat="false" ht="61.5" hidden="false" customHeight="true" outlineLevel="0" collapsed="false">
      <c r="A28" s="5" t="s">
        <v>233</v>
      </c>
      <c r="B28" s="7" t="s">
        <v>183</v>
      </c>
      <c r="C28" s="6" t="s">
        <v>223</v>
      </c>
      <c r="D28" s="7" t="s">
        <v>234</v>
      </c>
      <c r="E28" s="6" t="s">
        <v>25</v>
      </c>
      <c r="F28" s="6" t="s">
        <v>62</v>
      </c>
      <c r="G28" s="7" t="s">
        <v>235</v>
      </c>
      <c r="H28" s="7" t="s">
        <v>236</v>
      </c>
      <c r="I28" s="7" t="s">
        <v>237</v>
      </c>
      <c r="J28" s="7" t="s">
        <v>238</v>
      </c>
      <c r="K28" s="7" t="s">
        <v>239</v>
      </c>
      <c r="L28" s="29" t="s">
        <v>14</v>
      </c>
      <c r="M28" s="6" t="s">
        <v>68</v>
      </c>
      <c r="N28" s="7" t="s">
        <v>240</v>
      </c>
      <c r="O28" s="6" t="s">
        <v>241</v>
      </c>
      <c r="P28" s="6" t="s">
        <v>71</v>
      </c>
      <c r="Q28" s="6" t="s">
        <v>232</v>
      </c>
    </row>
    <row r="29" customFormat="false" ht="61.5" hidden="false" customHeight="true" outlineLevel="0" collapsed="false">
      <c r="A29" s="5" t="s">
        <v>242</v>
      </c>
      <c r="B29" s="7" t="s">
        <v>243</v>
      </c>
      <c r="C29" s="6" t="s">
        <v>244</v>
      </c>
      <c r="D29" s="7" t="s">
        <v>245</v>
      </c>
      <c r="E29" s="6" t="s">
        <v>25</v>
      </c>
      <c r="F29" s="6" t="s">
        <v>62</v>
      </c>
      <c r="G29" s="7" t="s">
        <v>246</v>
      </c>
      <c r="H29" s="7" t="s">
        <v>247</v>
      </c>
      <c r="I29" s="7" t="s">
        <v>248</v>
      </c>
      <c r="J29" s="7" t="s">
        <v>249</v>
      </c>
      <c r="K29" s="7" t="s">
        <v>250</v>
      </c>
      <c r="L29" s="27" t="s">
        <v>10</v>
      </c>
      <c r="M29" s="6" t="s">
        <v>68</v>
      </c>
      <c r="N29" s="7" t="s">
        <v>251</v>
      </c>
      <c r="O29" s="6" t="s">
        <v>80</v>
      </c>
      <c r="P29" s="6" t="s">
        <v>71</v>
      </c>
      <c r="Q29" s="6" t="s">
        <v>232</v>
      </c>
    </row>
    <row r="30" customFormat="false" ht="61.5" hidden="false" customHeight="true" outlineLevel="0" collapsed="false">
      <c r="A30" s="5" t="s">
        <v>252</v>
      </c>
      <c r="B30" s="7" t="s">
        <v>243</v>
      </c>
      <c r="C30" s="6" t="s">
        <v>253</v>
      </c>
      <c r="D30" s="7" t="s">
        <v>254</v>
      </c>
      <c r="E30" s="6" t="s">
        <v>25</v>
      </c>
      <c r="F30" s="6" t="s">
        <v>62</v>
      </c>
      <c r="G30" s="7" t="s">
        <v>255</v>
      </c>
      <c r="H30" s="7" t="s">
        <v>256</v>
      </c>
      <c r="I30" s="7" t="s">
        <v>257</v>
      </c>
      <c r="J30" s="7" t="s">
        <v>258</v>
      </c>
      <c r="K30" s="7" t="s">
        <v>259</v>
      </c>
      <c r="L30" s="27" t="s">
        <v>10</v>
      </c>
      <c r="M30" s="6" t="s">
        <v>68</v>
      </c>
      <c r="N30" s="7" t="s">
        <v>260</v>
      </c>
      <c r="O30" s="6" t="s">
        <v>80</v>
      </c>
      <c r="P30" s="6" t="s">
        <v>71</v>
      </c>
      <c r="Q30" s="6" t="s">
        <v>232</v>
      </c>
    </row>
    <row r="31" customFormat="false" ht="61.5" hidden="false" customHeight="true" outlineLevel="0" collapsed="false">
      <c r="A31" s="5" t="s">
        <v>261</v>
      </c>
      <c r="B31" s="7" t="s">
        <v>243</v>
      </c>
      <c r="C31" s="6" t="s">
        <v>253</v>
      </c>
      <c r="D31" s="7" t="s">
        <v>262</v>
      </c>
      <c r="E31" s="6" t="s">
        <v>27</v>
      </c>
      <c r="F31" s="6" t="s">
        <v>62</v>
      </c>
      <c r="G31" s="7" t="s">
        <v>263</v>
      </c>
      <c r="H31" s="7" t="s">
        <v>264</v>
      </c>
      <c r="I31" s="7" t="s">
        <v>265</v>
      </c>
      <c r="J31" s="7" t="s">
        <v>266</v>
      </c>
      <c r="K31" s="7" t="s">
        <v>86</v>
      </c>
      <c r="L31" s="27" t="s">
        <v>10</v>
      </c>
      <c r="M31" s="6" t="s">
        <v>68</v>
      </c>
      <c r="N31" s="7" t="s">
        <v>267</v>
      </c>
      <c r="O31" s="6" t="s">
        <v>80</v>
      </c>
      <c r="P31" s="6" t="s">
        <v>71</v>
      </c>
      <c r="Q31" s="6" t="s">
        <v>232</v>
      </c>
    </row>
    <row r="32" customFormat="false" ht="61.5" hidden="false" customHeight="true" outlineLevel="0" collapsed="false">
      <c r="A32" s="5" t="s">
        <v>268</v>
      </c>
      <c r="B32" s="7" t="s">
        <v>243</v>
      </c>
      <c r="C32" s="6" t="s">
        <v>253</v>
      </c>
      <c r="D32" s="7" t="s">
        <v>269</v>
      </c>
      <c r="E32" s="6" t="s">
        <v>27</v>
      </c>
      <c r="F32" s="6" t="s">
        <v>62</v>
      </c>
      <c r="G32" s="7" t="s">
        <v>270</v>
      </c>
      <c r="H32" s="7" t="s">
        <v>271</v>
      </c>
      <c r="I32" s="7" t="s">
        <v>272</v>
      </c>
      <c r="J32" s="7" t="s">
        <v>273</v>
      </c>
      <c r="K32" s="7" t="s">
        <v>274</v>
      </c>
      <c r="L32" s="27" t="s">
        <v>10</v>
      </c>
      <c r="M32" s="6" t="s">
        <v>68</v>
      </c>
      <c r="N32" s="7" t="s">
        <v>275</v>
      </c>
      <c r="O32" s="6" t="s">
        <v>80</v>
      </c>
      <c r="P32" s="6" t="s">
        <v>71</v>
      </c>
      <c r="Q32" s="6" t="s">
        <v>232</v>
      </c>
    </row>
    <row r="33" customFormat="false" ht="61.5" hidden="false" customHeight="true" outlineLevel="0" collapsed="false">
      <c r="A33" s="5" t="s">
        <v>276</v>
      </c>
      <c r="B33" s="7" t="s">
        <v>243</v>
      </c>
      <c r="C33" s="6" t="s">
        <v>277</v>
      </c>
      <c r="D33" s="7" t="s">
        <v>278</v>
      </c>
      <c r="E33" s="6" t="s">
        <v>29</v>
      </c>
      <c r="F33" s="6" t="s">
        <v>279</v>
      </c>
      <c r="G33" s="7" t="s">
        <v>280</v>
      </c>
      <c r="H33" s="7" t="s">
        <v>281</v>
      </c>
      <c r="I33" s="7" t="s">
        <v>282</v>
      </c>
      <c r="J33" s="7" t="s">
        <v>283</v>
      </c>
      <c r="K33" s="7" t="s">
        <v>284</v>
      </c>
      <c r="L33" s="27" t="s">
        <v>10</v>
      </c>
      <c r="M33" s="6" t="s">
        <v>68</v>
      </c>
      <c r="N33" s="7" t="s">
        <v>285</v>
      </c>
      <c r="O33" s="6" t="s">
        <v>80</v>
      </c>
      <c r="P33" s="6" t="s">
        <v>71</v>
      </c>
      <c r="Q33" s="6" t="s">
        <v>232</v>
      </c>
    </row>
    <row r="34" customFormat="false" ht="61.5" hidden="false" customHeight="true" outlineLevel="0" collapsed="false">
      <c r="A34" s="5" t="s">
        <v>286</v>
      </c>
      <c r="B34" s="7" t="s">
        <v>243</v>
      </c>
      <c r="C34" s="6" t="s">
        <v>277</v>
      </c>
      <c r="D34" s="7" t="s">
        <v>287</v>
      </c>
      <c r="E34" s="6" t="s">
        <v>29</v>
      </c>
      <c r="F34" s="6" t="s">
        <v>279</v>
      </c>
      <c r="G34" s="7" t="s">
        <v>280</v>
      </c>
      <c r="H34" s="7" t="s">
        <v>288</v>
      </c>
      <c r="I34" s="7" t="s">
        <v>289</v>
      </c>
      <c r="J34" s="7" t="s">
        <v>290</v>
      </c>
      <c r="K34" s="7" t="s">
        <v>291</v>
      </c>
      <c r="L34" s="28" t="s">
        <v>12</v>
      </c>
      <c r="M34" s="6" t="s">
        <v>68</v>
      </c>
      <c r="N34" s="7" t="s">
        <v>292</v>
      </c>
      <c r="O34" s="6" t="s">
        <v>293</v>
      </c>
      <c r="P34" s="6" t="s">
        <v>71</v>
      </c>
      <c r="Q34" s="6" t="s">
        <v>232</v>
      </c>
    </row>
    <row r="35" customFormat="false" ht="61.5" hidden="false" customHeight="true" outlineLevel="0" collapsed="false">
      <c r="A35" s="5" t="s">
        <v>294</v>
      </c>
      <c r="B35" s="7" t="s">
        <v>243</v>
      </c>
      <c r="C35" s="6" t="s">
        <v>277</v>
      </c>
      <c r="D35" s="7" t="s">
        <v>295</v>
      </c>
      <c r="E35" s="6" t="s">
        <v>27</v>
      </c>
      <c r="F35" s="6" t="s">
        <v>279</v>
      </c>
      <c r="G35" s="7" t="s">
        <v>280</v>
      </c>
      <c r="H35" s="7" t="s">
        <v>296</v>
      </c>
      <c r="I35" s="7" t="s">
        <v>137</v>
      </c>
      <c r="J35" s="7" t="s">
        <v>297</v>
      </c>
      <c r="K35" s="7" t="s">
        <v>86</v>
      </c>
      <c r="L35" s="27" t="s">
        <v>10</v>
      </c>
      <c r="M35" s="6" t="s">
        <v>68</v>
      </c>
      <c r="N35" s="7" t="s">
        <v>298</v>
      </c>
      <c r="O35" s="6" t="s">
        <v>80</v>
      </c>
      <c r="P35" s="6" t="s">
        <v>71</v>
      </c>
      <c r="Q35" s="6" t="s">
        <v>232</v>
      </c>
    </row>
    <row r="36" customFormat="false" ht="61.5" hidden="false" customHeight="true" outlineLevel="0" collapsed="false">
      <c r="A36" s="5" t="s">
        <v>299</v>
      </c>
      <c r="B36" s="7" t="s">
        <v>243</v>
      </c>
      <c r="C36" s="6" t="s">
        <v>300</v>
      </c>
      <c r="D36" s="7" t="s">
        <v>301</v>
      </c>
      <c r="E36" s="6" t="s">
        <v>25</v>
      </c>
      <c r="F36" s="6" t="s">
        <v>62</v>
      </c>
      <c r="G36" s="7" t="s">
        <v>302</v>
      </c>
      <c r="H36" s="7" t="s">
        <v>303</v>
      </c>
      <c r="I36" s="7" t="s">
        <v>227</v>
      </c>
      <c r="J36" s="7" t="s">
        <v>304</v>
      </c>
      <c r="K36" s="7" t="s">
        <v>305</v>
      </c>
      <c r="L36" s="27" t="s">
        <v>10</v>
      </c>
      <c r="M36" s="6" t="s">
        <v>68</v>
      </c>
      <c r="N36" s="7" t="s">
        <v>306</v>
      </c>
      <c r="O36" s="6" t="s">
        <v>80</v>
      </c>
      <c r="P36" s="6" t="s">
        <v>71</v>
      </c>
      <c r="Q36" s="6" t="s">
        <v>232</v>
      </c>
    </row>
    <row r="37" customFormat="false" ht="61.5" hidden="false" customHeight="true" outlineLevel="0" collapsed="false">
      <c r="A37" s="5" t="s">
        <v>307</v>
      </c>
      <c r="B37" s="7" t="s">
        <v>308</v>
      </c>
      <c r="C37" s="6" t="s">
        <v>309</v>
      </c>
      <c r="D37" s="7" t="s">
        <v>310</v>
      </c>
      <c r="E37" s="6" t="s">
        <v>25</v>
      </c>
      <c r="F37" s="6" t="s">
        <v>62</v>
      </c>
      <c r="G37" s="7" t="s">
        <v>311</v>
      </c>
      <c r="H37" s="7" t="s">
        <v>312</v>
      </c>
      <c r="I37" s="7" t="s">
        <v>313</v>
      </c>
      <c r="J37" s="7" t="s">
        <v>314</v>
      </c>
      <c r="K37" s="7" t="s">
        <v>315</v>
      </c>
      <c r="L37" s="27" t="s">
        <v>10</v>
      </c>
      <c r="M37" s="6" t="s">
        <v>68</v>
      </c>
      <c r="N37" s="7" t="s">
        <v>316</v>
      </c>
      <c r="O37" s="6" t="s">
        <v>80</v>
      </c>
      <c r="P37" s="6" t="s">
        <v>71</v>
      </c>
      <c r="Q37" s="6" t="s">
        <v>232</v>
      </c>
    </row>
    <row r="38" customFormat="false" ht="61.5" hidden="false" customHeight="true" outlineLevel="0" collapsed="false">
      <c r="A38" s="5" t="s">
        <v>317</v>
      </c>
      <c r="B38" s="7" t="s">
        <v>308</v>
      </c>
      <c r="C38" s="6" t="s">
        <v>309</v>
      </c>
      <c r="D38" s="7" t="s">
        <v>318</v>
      </c>
      <c r="E38" s="6" t="s">
        <v>29</v>
      </c>
      <c r="F38" s="6" t="s">
        <v>62</v>
      </c>
      <c r="G38" s="7" t="s">
        <v>319</v>
      </c>
      <c r="H38" s="7" t="s">
        <v>320</v>
      </c>
      <c r="I38" s="7" t="s">
        <v>321</v>
      </c>
      <c r="J38" s="7" t="s">
        <v>322</v>
      </c>
      <c r="K38" s="7" t="s">
        <v>323</v>
      </c>
      <c r="L38" s="27" t="s">
        <v>10</v>
      </c>
      <c r="M38" s="6" t="s">
        <v>68</v>
      </c>
      <c r="N38" s="7" t="s">
        <v>324</v>
      </c>
      <c r="O38" s="6" t="s">
        <v>80</v>
      </c>
      <c r="P38" s="6" t="s">
        <v>71</v>
      </c>
      <c r="Q38" s="6" t="s">
        <v>232</v>
      </c>
    </row>
    <row r="39" customFormat="false" ht="61.5" hidden="false" customHeight="true" outlineLevel="0" collapsed="false">
      <c r="A39" s="5" t="s">
        <v>325</v>
      </c>
      <c r="B39" s="7" t="s">
        <v>308</v>
      </c>
      <c r="C39" s="6" t="s">
        <v>309</v>
      </c>
      <c r="D39" s="7" t="s">
        <v>326</v>
      </c>
      <c r="E39" s="6" t="s">
        <v>25</v>
      </c>
      <c r="F39" s="6" t="s">
        <v>279</v>
      </c>
      <c r="G39" s="7" t="s">
        <v>327</v>
      </c>
      <c r="H39" s="7" t="s">
        <v>328</v>
      </c>
      <c r="I39" s="7" t="s">
        <v>329</v>
      </c>
      <c r="J39" s="7" t="s">
        <v>330</v>
      </c>
      <c r="K39" s="7" t="s">
        <v>331</v>
      </c>
      <c r="L39" s="28" t="s">
        <v>12</v>
      </c>
      <c r="M39" s="6" t="s">
        <v>68</v>
      </c>
      <c r="N39" s="7" t="s">
        <v>332</v>
      </c>
      <c r="O39" s="6" t="s">
        <v>333</v>
      </c>
      <c r="P39" s="6" t="s">
        <v>71</v>
      </c>
      <c r="Q39" s="6" t="s">
        <v>232</v>
      </c>
    </row>
    <row r="40" customFormat="false" ht="61.5" hidden="false" customHeight="true" outlineLevel="0" collapsed="false">
      <c r="A40" s="5" t="s">
        <v>334</v>
      </c>
      <c r="B40" s="7" t="s">
        <v>335</v>
      </c>
      <c r="C40" s="6" t="s">
        <v>336</v>
      </c>
      <c r="D40" s="7" t="s">
        <v>337</v>
      </c>
      <c r="E40" s="6" t="s">
        <v>31</v>
      </c>
      <c r="F40" s="6" t="s">
        <v>62</v>
      </c>
      <c r="G40" s="7" t="s">
        <v>338</v>
      </c>
      <c r="H40" s="7" t="s">
        <v>339</v>
      </c>
      <c r="I40" s="7" t="s">
        <v>340</v>
      </c>
      <c r="J40" s="7" t="s">
        <v>341</v>
      </c>
      <c r="K40" s="7" t="s">
        <v>342</v>
      </c>
      <c r="L40" s="28" t="s">
        <v>12</v>
      </c>
      <c r="M40" s="6" t="s">
        <v>343</v>
      </c>
      <c r="N40" s="7" t="s">
        <v>344</v>
      </c>
      <c r="O40" s="6" t="s">
        <v>345</v>
      </c>
      <c r="P40" s="6" t="s">
        <v>71</v>
      </c>
      <c r="Q40" s="6" t="s">
        <v>232</v>
      </c>
    </row>
    <row r="41" customFormat="false" ht="61.5" hidden="false" customHeight="true" outlineLevel="0" collapsed="false">
      <c r="A41" s="5" t="s">
        <v>346</v>
      </c>
      <c r="B41" s="7" t="s">
        <v>335</v>
      </c>
      <c r="C41" s="6" t="s">
        <v>336</v>
      </c>
      <c r="D41" s="7" t="s">
        <v>347</v>
      </c>
      <c r="E41" s="6" t="s">
        <v>31</v>
      </c>
      <c r="F41" s="6" t="s">
        <v>62</v>
      </c>
      <c r="G41" s="7" t="s">
        <v>348</v>
      </c>
      <c r="H41" s="7" t="s">
        <v>349</v>
      </c>
      <c r="I41" s="7" t="s">
        <v>350</v>
      </c>
      <c r="J41" s="7" t="s">
        <v>351</v>
      </c>
      <c r="K41" s="7" t="s">
        <v>352</v>
      </c>
      <c r="L41" s="29" t="s">
        <v>14</v>
      </c>
      <c r="M41" s="6" t="s">
        <v>353</v>
      </c>
      <c r="N41" s="7" t="s">
        <v>354</v>
      </c>
      <c r="O41" s="6" t="s">
        <v>355</v>
      </c>
      <c r="P41" s="6" t="s">
        <v>71</v>
      </c>
      <c r="Q41" s="6" t="s">
        <v>232</v>
      </c>
    </row>
    <row r="42" customFormat="false" ht="61.5" hidden="false" customHeight="true" outlineLevel="0" collapsed="false">
      <c r="A42" s="5" t="s">
        <v>356</v>
      </c>
      <c r="B42" s="7" t="s">
        <v>335</v>
      </c>
      <c r="C42" s="6" t="s">
        <v>357</v>
      </c>
      <c r="D42" s="7" t="s">
        <v>358</v>
      </c>
      <c r="E42" s="6" t="s">
        <v>33</v>
      </c>
      <c r="F42" s="6" t="s">
        <v>62</v>
      </c>
      <c r="G42" s="7" t="s">
        <v>359</v>
      </c>
      <c r="H42" s="7" t="s">
        <v>360</v>
      </c>
      <c r="I42" s="7" t="s">
        <v>361</v>
      </c>
      <c r="J42" s="7" t="s">
        <v>362</v>
      </c>
      <c r="K42" s="7" t="s">
        <v>363</v>
      </c>
      <c r="L42" s="28" t="s">
        <v>12</v>
      </c>
      <c r="M42" s="6" t="s">
        <v>364</v>
      </c>
      <c r="N42" s="7" t="s">
        <v>365</v>
      </c>
      <c r="O42" s="6" t="s">
        <v>366</v>
      </c>
      <c r="P42" s="6" t="s">
        <v>71</v>
      </c>
      <c r="Q42" s="6" t="s">
        <v>232</v>
      </c>
    </row>
    <row r="43" customFormat="false" ht="61.5" hidden="false" customHeight="true" outlineLevel="0" collapsed="false">
      <c r="A43" s="5" t="s">
        <v>367</v>
      </c>
      <c r="B43" s="7" t="s">
        <v>335</v>
      </c>
      <c r="C43" s="6" t="s">
        <v>357</v>
      </c>
      <c r="D43" s="7" t="s">
        <v>368</v>
      </c>
      <c r="E43" s="6" t="s">
        <v>33</v>
      </c>
      <c r="F43" s="6" t="s">
        <v>279</v>
      </c>
      <c r="G43" s="7" t="s">
        <v>369</v>
      </c>
      <c r="H43" s="7" t="s">
        <v>370</v>
      </c>
      <c r="I43" s="7" t="s">
        <v>371</v>
      </c>
      <c r="J43" s="7" t="s">
        <v>372</v>
      </c>
      <c r="K43" s="7" t="s">
        <v>373</v>
      </c>
      <c r="L43" s="27" t="s">
        <v>10</v>
      </c>
      <c r="M43" s="6" t="s">
        <v>364</v>
      </c>
      <c r="N43" s="7" t="s">
        <v>374</v>
      </c>
      <c r="O43" s="6" t="s">
        <v>80</v>
      </c>
      <c r="P43" s="6" t="s">
        <v>71</v>
      </c>
      <c r="Q43" s="6" t="s">
        <v>232</v>
      </c>
    </row>
    <row r="44" customFormat="false" ht="61.5" hidden="false" customHeight="true" outlineLevel="0" collapsed="false">
      <c r="A44" s="5" t="s">
        <v>375</v>
      </c>
      <c r="B44" s="7" t="s">
        <v>376</v>
      </c>
      <c r="C44" s="6" t="s">
        <v>377</v>
      </c>
      <c r="D44" s="7" t="s">
        <v>378</v>
      </c>
      <c r="E44" s="6" t="s">
        <v>25</v>
      </c>
      <c r="F44" s="6" t="s">
        <v>279</v>
      </c>
      <c r="G44" s="7" t="s">
        <v>379</v>
      </c>
      <c r="H44" s="7" t="s">
        <v>380</v>
      </c>
      <c r="I44" s="7" t="s">
        <v>381</v>
      </c>
      <c r="J44" s="7" t="s">
        <v>382</v>
      </c>
      <c r="K44" s="7" t="s">
        <v>383</v>
      </c>
      <c r="L44" s="28" t="s">
        <v>12</v>
      </c>
      <c r="M44" s="6" t="s">
        <v>68</v>
      </c>
      <c r="N44" s="7" t="s">
        <v>384</v>
      </c>
      <c r="O44" s="6" t="s">
        <v>385</v>
      </c>
      <c r="P44" s="6" t="s">
        <v>71</v>
      </c>
      <c r="Q44" s="6" t="s">
        <v>232</v>
      </c>
    </row>
    <row r="45" customFormat="false" ht="61.5" hidden="false" customHeight="true" outlineLevel="0" collapsed="false">
      <c r="A45" s="5" t="s">
        <v>386</v>
      </c>
      <c r="B45" s="7" t="s">
        <v>376</v>
      </c>
      <c r="C45" s="6" t="s">
        <v>387</v>
      </c>
      <c r="D45" s="7" t="s">
        <v>388</v>
      </c>
      <c r="E45" s="6" t="s">
        <v>35</v>
      </c>
      <c r="F45" s="6" t="s">
        <v>62</v>
      </c>
      <c r="G45" s="7" t="s">
        <v>389</v>
      </c>
      <c r="H45" s="7" t="s">
        <v>390</v>
      </c>
      <c r="I45" s="7" t="s">
        <v>391</v>
      </c>
      <c r="J45" s="7" t="s">
        <v>392</v>
      </c>
      <c r="K45" s="7" t="s">
        <v>393</v>
      </c>
      <c r="L45" s="27" t="s">
        <v>10</v>
      </c>
      <c r="M45" s="6" t="s">
        <v>68</v>
      </c>
      <c r="N45" s="7" t="s">
        <v>394</v>
      </c>
      <c r="O45" s="6" t="s">
        <v>80</v>
      </c>
      <c r="P45" s="6" t="s">
        <v>71</v>
      </c>
      <c r="Q45" s="6" t="s">
        <v>232</v>
      </c>
    </row>
    <row r="46" customFormat="false" ht="61.5" hidden="false" customHeight="true" outlineLevel="0" collapsed="false">
      <c r="A46" s="5" t="s">
        <v>395</v>
      </c>
      <c r="B46" s="7" t="s">
        <v>376</v>
      </c>
      <c r="C46" s="6" t="s">
        <v>396</v>
      </c>
      <c r="D46" s="7" t="s">
        <v>397</v>
      </c>
      <c r="E46" s="6" t="s">
        <v>35</v>
      </c>
      <c r="F46" s="6" t="s">
        <v>62</v>
      </c>
      <c r="G46" s="7" t="s">
        <v>398</v>
      </c>
      <c r="H46" s="7" t="s">
        <v>399</v>
      </c>
      <c r="I46" s="7" t="s">
        <v>400</v>
      </c>
      <c r="J46" s="7" t="s">
        <v>401</v>
      </c>
      <c r="K46" s="7" t="s">
        <v>402</v>
      </c>
      <c r="L46" s="27" t="s">
        <v>10</v>
      </c>
      <c r="M46" s="6" t="s">
        <v>68</v>
      </c>
      <c r="N46" s="7" t="s">
        <v>403</v>
      </c>
      <c r="O46" s="6" t="s">
        <v>80</v>
      </c>
      <c r="P46" s="6" t="s">
        <v>71</v>
      </c>
      <c r="Q46" s="6" t="s">
        <v>232</v>
      </c>
    </row>
    <row r="47" customFormat="false" ht="61.5" hidden="false" customHeight="true" outlineLevel="0" collapsed="false">
      <c r="A47" s="5" t="s">
        <v>404</v>
      </c>
      <c r="B47" s="7" t="s">
        <v>376</v>
      </c>
      <c r="C47" s="6" t="s">
        <v>244</v>
      </c>
      <c r="D47" s="7" t="s">
        <v>405</v>
      </c>
      <c r="E47" s="6" t="s">
        <v>25</v>
      </c>
      <c r="F47" s="6" t="s">
        <v>279</v>
      </c>
      <c r="G47" s="7" t="s">
        <v>406</v>
      </c>
      <c r="H47" s="7" t="s">
        <v>407</v>
      </c>
      <c r="I47" s="7" t="s">
        <v>188</v>
      </c>
      <c r="J47" s="7" t="s">
        <v>408</v>
      </c>
      <c r="K47" s="7" t="s">
        <v>409</v>
      </c>
      <c r="L47" s="27" t="s">
        <v>10</v>
      </c>
      <c r="M47" s="6" t="s">
        <v>68</v>
      </c>
      <c r="N47" s="7" t="s">
        <v>410</v>
      </c>
      <c r="O47" s="6" t="s">
        <v>80</v>
      </c>
      <c r="P47" s="6" t="s">
        <v>71</v>
      </c>
      <c r="Q47" s="6" t="s">
        <v>232</v>
      </c>
    </row>
  </sheetData>
  <autoFilter ref="A4:Q47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2026-09-20T18:09:07Z</dcterms:created>
  <dc:creator>openpyxl</dc:creator>
  <dc:description/>
  <dc:language>en-US</dc:language>
  <cp:lastModifiedBy/>
  <dcterms:modified xsi:type="dcterms:W3CDTF">2026-09-20T18:09:07Z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